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192.168.11.20\行政書士法人チェスター\10.コミッティ\04.書式\■■■■■■コピー用■■■■■■\08.解約セット\作業用\"/>
    </mc:Choice>
  </mc:AlternateContent>
  <xr:revisionPtr revIDLastSave="0" documentId="13_ncr:1_{A5E6E3A3-2AB1-4CD5-89B8-B7BE67C39BB9}" xr6:coauthVersionLast="47" xr6:coauthVersionMax="47" xr10:uidLastSave="{00000000-0000-0000-0000-000000000000}"/>
  <bookViews>
    <workbookView xWindow="-28920" yWindow="-120" windowWidth="29040" windowHeight="15720" tabRatio="879" activeTab="1" xr2:uid="{F09CAAFB-182B-4D86-81B6-21BBE2AEC6DE}"/>
  </bookViews>
  <sheets>
    <sheet name="解約情報入力" sheetId="24" r:id="rId1"/>
    <sheet name="基本情報入力" sheetId="1" r:id="rId2"/>
    <sheet name="送付状・返送書類リスト" sheetId="22" r:id="rId3"/>
    <sheet name="委任状" sheetId="5" r:id="rId4"/>
    <sheet name="銀行口座" sheetId="42" r:id="rId5"/>
    <sheet name="証券口座" sheetId="27" r:id="rId6"/>
    <sheet name="銀行口座 (ゆうちょが他行OKになったら)" sheetId="44" state="hidden" r:id="rId7"/>
    <sheet name="証券代行部" sheetId="29" r:id="rId8"/>
    <sheet name="協議後のスケジュール" sheetId="43" r:id="rId9"/>
    <sheet name="送付先宛名シール（個別）" sheetId="41" r:id="rId10"/>
    <sheet name="プルダウン" sheetId="25" state="hidden" r:id="rId11"/>
    <sheet name="返送書類リスト(ひな型)" sheetId="4" state="hidden" r:id="rId12"/>
    <sheet name="送付状(法定)" sheetId="3" state="hidden" r:id="rId13"/>
  </sheets>
  <definedNames>
    <definedName name="_xlnm._FilterDatabase" localSheetId="11" hidden="1">'返送書類リスト(ひな型)'!$B$7:$G$7</definedName>
    <definedName name="_xlnm.Print_Area" localSheetId="3">委任状!$A$1:$K$47</definedName>
    <definedName name="_xlnm.Print_Area" localSheetId="1">基本情報入力!$A$1:$AD$83</definedName>
    <definedName name="_xlnm.Print_Area" localSheetId="5">証券口座!$A$1:$F$30</definedName>
    <definedName name="_xlnm.Print_Area" localSheetId="7">証券代行部!$A$1:$Y$14</definedName>
    <definedName name="_xlnm.Print_Area" localSheetId="12">'送付状(法定)'!$C$1:$Z$31</definedName>
    <definedName name="_xlnm.Print_Area" localSheetId="2">送付状・返送書類リスト!$C$1:$J$51</definedName>
    <definedName name="_xlnm.Print_Area" localSheetId="9">'送付先宛名シール（個別）'!$A$1:$J$60</definedName>
    <definedName name="_xlnm.Print_Area" localSheetId="11">'返送書類リスト(ひな型)'!$B$1:$G$23</definedName>
    <definedName name="業務リスト">#REF!</definedName>
    <definedName name="新宿" localSheetId="9">#REF!</definedName>
    <definedName name="新宿">#REF!</definedName>
    <definedName name="相続人リスト" localSheetId="9">#REF!,#REF!,#REF!,#REF!,#REF!,#REF!</definedName>
    <definedName name="相続人リスト">#REF!,#REF!,#REF!,#REF!,#REF!,#REF!</definedName>
    <definedName name="続柄リスト" localSheetId="9">#REF!</definedName>
    <definedName name="続柄リスト">#REF!</definedName>
    <definedName name="大坂" localSheetId="9">#REF!</definedName>
    <definedName name="大坂">#REF!</definedName>
    <definedName name="担当">基本情報入力!$J$47:$K$164</definedName>
    <definedName name="担当者リスト" localSheetId="9">#REF!</definedName>
    <definedName name="担当者リスト">#REF!</definedName>
    <definedName name="担当者情報" localSheetId="9">#REF!</definedName>
    <definedName name="担当者情報">#REF!</definedName>
    <definedName name="本店" localSheetId="9">#REF!</definedName>
    <definedName name="本店">#REF!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22" l="1"/>
  <c r="J12" i="22"/>
  <c r="J11" i="22"/>
  <c r="J10" i="22"/>
  <c r="J9" i="22"/>
  <c r="M59" i="41"/>
  <c r="M49" i="41"/>
  <c r="M39" i="41"/>
  <c r="M29" i="41"/>
  <c r="M19" i="41"/>
  <c r="M9" i="41"/>
  <c r="M47" i="41" a="1"/>
  <c r="M47" i="41" s="1"/>
  <c r="M57" i="41" a="1"/>
  <c r="M57" i="41" s="1"/>
  <c r="M56" i="41" a="1"/>
  <c r="M56" i="41" s="1"/>
  <c r="M55" i="41" a="1"/>
  <c r="M55" i="41" s="1"/>
  <c r="M53" i="41" a="1"/>
  <c r="M53" i="41" s="1"/>
  <c r="M46" i="41" a="1"/>
  <c r="M46" i="41" s="1"/>
  <c r="M45" i="41" a="1"/>
  <c r="M45" i="41" s="1"/>
  <c r="M43" i="41" a="1"/>
  <c r="M43" i="41" s="1"/>
  <c r="M35" i="41" a="1"/>
  <c r="M35" i="41" s="1"/>
  <c r="M33" i="41" a="1"/>
  <c r="M33" i="41" s="1"/>
  <c r="M26" i="41" a="1"/>
  <c r="M26" i="41" s="1"/>
  <c r="M25" i="41" a="1"/>
  <c r="M25" i="41" s="1"/>
  <c r="M23" i="41" a="1"/>
  <c r="M23" i="41" s="1"/>
  <c r="M16" i="41" a="1"/>
  <c r="M16" i="41" s="1"/>
  <c r="M15" i="41" a="1"/>
  <c r="M15" i="41" s="1"/>
  <c r="M13" i="41" a="1"/>
  <c r="M13" i="41" s="1"/>
  <c r="M6" i="41" a="1"/>
  <c r="M6" i="41" s="1"/>
  <c r="M5" i="41" a="1"/>
  <c r="M5" i="41" s="1"/>
  <c r="M3" i="41" a="1"/>
  <c r="M3" i="41" s="1"/>
  <c r="M36" i="41" a="1"/>
  <c r="M36" i="41" s="1"/>
  <c r="AD78" i="1"/>
  <c r="AD72" i="1"/>
  <c r="R26" i="1"/>
  <c r="Q26" i="1"/>
  <c r="R25" i="1"/>
  <c r="Q25" i="1" s="1"/>
  <c r="R24" i="1"/>
  <c r="Q24" i="1" s="1"/>
  <c r="R23" i="1"/>
  <c r="Q23" i="1" s="1"/>
  <c r="R22" i="1"/>
  <c r="Q22" i="1" s="1"/>
  <c r="D14" i="5" l="1"/>
  <c r="D12" i="5"/>
  <c r="D11" i="5"/>
  <c r="I8" i="5"/>
  <c r="E8" i="5"/>
  <c r="I7" i="5"/>
  <c r="E7" i="5"/>
  <c r="I6" i="5"/>
  <c r="E6" i="5"/>
  <c r="I5" i="5"/>
  <c r="E5" i="5"/>
  <c r="I4" i="5"/>
  <c r="E4" i="5"/>
  <c r="I51" i="22"/>
  <c r="I50" i="22"/>
  <c r="E49" i="22"/>
  <c r="E50" i="22"/>
  <c r="C50" i="22" s="1"/>
  <c r="E51" i="22"/>
  <c r="C51" i="22" s="1"/>
  <c r="I49" i="22"/>
  <c r="E37" i="22" a="1"/>
  <c r="D25" i="22"/>
  <c r="C25" i="22" s="1"/>
  <c r="D26" i="22"/>
  <c r="C26" i="22" s="1"/>
  <c r="D27" i="22"/>
  <c r="C27" i="22" s="1"/>
  <c r="I25" i="22"/>
  <c r="J25" i="22" s="1"/>
  <c r="I26" i="22"/>
  <c r="J26" i="22" s="1"/>
  <c r="I27" i="22"/>
  <c r="J27" i="22" s="1"/>
  <c r="E37" i="22" l="1"/>
  <c r="I37" i="22"/>
  <c r="G50" i="22"/>
  <c r="J50" i="22" s="1" a="1"/>
  <c r="J50" i="22" s="1"/>
  <c r="G45" i="22"/>
  <c r="G44" i="22"/>
  <c r="G46" i="22"/>
  <c r="B27" i="22"/>
  <c r="B26" i="22"/>
  <c r="I40" i="22"/>
  <c r="I46" i="22"/>
  <c r="I45" i="22"/>
  <c r="J45" i="22" s="1"/>
  <c r="I44" i="22"/>
  <c r="C44" i="22" s="1"/>
  <c r="I43" i="22"/>
  <c r="I42" i="22"/>
  <c r="I41" i="22"/>
  <c r="B25" i="22"/>
  <c r="I39" i="22"/>
  <c r="I38" i="22"/>
  <c r="C46" i="22" l="1"/>
  <c r="J46" i="22"/>
  <c r="C45" i="22"/>
  <c r="J44" i="22"/>
  <c r="C131" i="27" l="1"/>
  <c r="C122" i="27"/>
  <c r="C113" i="27"/>
  <c r="C104" i="27"/>
  <c r="C95" i="27"/>
  <c r="C86" i="27"/>
  <c r="C77" i="27"/>
  <c r="C68" i="27"/>
  <c r="C59" i="27"/>
  <c r="C23" i="27"/>
  <c r="C14" i="27"/>
  <c r="C5" i="27"/>
  <c r="D47" i="5"/>
  <c r="D44" i="5"/>
  <c r="D43" i="5"/>
  <c r="C41" i="22" l="1"/>
  <c r="C40" i="22"/>
  <c r="J40" i="22"/>
  <c r="J37" i="22"/>
  <c r="G37" i="22"/>
  <c r="I20" i="22" l="1"/>
  <c r="I21" i="22"/>
  <c r="I22" i="22"/>
  <c r="I23" i="22"/>
  <c r="I24" i="22"/>
  <c r="B27" i="24"/>
  <c r="B25" i="24"/>
  <c r="B23" i="24"/>
  <c r="B22" i="24"/>
  <c r="B21" i="24"/>
  <c r="B20" i="24"/>
  <c r="B19" i="24"/>
  <c r="B26" i="24"/>
  <c r="B24" i="24"/>
  <c r="I19" i="22"/>
  <c r="D20" i="22"/>
  <c r="D21" i="22"/>
  <c r="D23" i="22"/>
  <c r="D19" i="22"/>
  <c r="D18" i="22"/>
  <c r="C59" i="41"/>
  <c r="H59" i="41" s="1"/>
  <c r="B57" i="41"/>
  <c r="B56" i="41"/>
  <c r="B55" i="41"/>
  <c r="B53" i="41"/>
  <c r="C49" i="41"/>
  <c r="H49" i="41" s="1"/>
  <c r="B47" i="41"/>
  <c r="B46" i="41"/>
  <c r="B45" i="41"/>
  <c r="B43" i="41"/>
  <c r="C39" i="41"/>
  <c r="H39" i="41" s="1"/>
  <c r="M37" i="41" a="1"/>
  <c r="M37" i="41" s="1"/>
  <c r="B37" i="41" s="1"/>
  <c r="G37" i="41" s="1"/>
  <c r="B36" i="41"/>
  <c r="G36" i="41" s="1"/>
  <c r="B35" i="41"/>
  <c r="G35" i="41" s="1"/>
  <c r="B33" i="41"/>
  <c r="G33" i="41" s="1"/>
  <c r="C29" i="41"/>
  <c r="H29" i="41" s="1"/>
  <c r="M27" i="41" a="1"/>
  <c r="M27" i="41" s="1"/>
  <c r="C19" i="41"/>
  <c r="M17" i="41" a="1"/>
  <c r="M17" i="41" s="1"/>
  <c r="B17" i="41" s="1"/>
  <c r="B16" i="41"/>
  <c r="G16" i="41" s="1"/>
  <c r="B15" i="41"/>
  <c r="G15" i="41" s="1"/>
  <c r="B13" i="41"/>
  <c r="G13" i="41" s="1"/>
  <c r="B3" i="41"/>
  <c r="B5" i="41"/>
  <c r="B6" i="41"/>
  <c r="C9" i="41"/>
  <c r="M7" i="41" a="1"/>
  <c r="M7" i="41" s="1"/>
  <c r="B7" i="41" s="1"/>
  <c r="G7" i="41" s="1"/>
  <c r="B23" i="41" l="1"/>
  <c r="G23" i="41" s="1"/>
  <c r="B25" i="41"/>
  <c r="G25" i="41" s="1"/>
  <c r="B26" i="41"/>
  <c r="G26" i="41" s="1"/>
  <c r="B27" i="41"/>
  <c r="G27" i="41" s="1"/>
  <c r="G17" i="41"/>
  <c r="G5" i="41"/>
  <c r="G3" i="41"/>
  <c r="H19" i="41"/>
  <c r="H9" i="41"/>
  <c r="G45" i="41"/>
  <c r="G43" i="41"/>
  <c r="G53" i="41"/>
  <c r="G46" i="41"/>
  <c r="G56" i="41"/>
  <c r="G57" i="41"/>
  <c r="G47" i="41"/>
  <c r="G55" i="41"/>
  <c r="I18" i="22" l="1"/>
  <c r="J18" i="22" s="1"/>
  <c r="C50" i="27"/>
  <c r="C32" i="27"/>
  <c r="C41" i="27"/>
  <c r="H3" i="22"/>
  <c r="G38" i="22"/>
  <c r="G39" i="22"/>
  <c r="G41" i="22"/>
  <c r="C5" i="22"/>
  <c r="G49" i="22" l="1"/>
  <c r="J49" i="22" s="1" a="1"/>
  <c r="J49" i="22" s="1"/>
  <c r="G51" i="22"/>
  <c r="J51" i="22" s="1" a="1"/>
  <c r="J51" i="22" s="1"/>
  <c r="G32" i="22"/>
  <c r="C49" i="22"/>
  <c r="B20" i="22"/>
  <c r="B19" i="22"/>
  <c r="B21" i="22"/>
  <c r="B23" i="22"/>
  <c r="J42" i="22"/>
  <c r="C23" i="22"/>
  <c r="J8" i="22" l="1"/>
  <c r="J43" i="22" l="1"/>
  <c r="J41" i="22"/>
  <c r="J39" i="22"/>
  <c r="J38" i="22"/>
  <c r="C42" i="22"/>
  <c r="C43" i="22"/>
  <c r="C39" i="22" l="1"/>
  <c r="C37" i="22"/>
  <c r="C38" i="22"/>
  <c r="J24" i="22" l="1"/>
  <c r="J23" i="22"/>
  <c r="J22" i="22"/>
  <c r="J21" i="22"/>
  <c r="C21" i="22"/>
  <c r="J20" i="22"/>
  <c r="C20" i="22"/>
  <c r="J19" i="22"/>
  <c r="C19" i="22"/>
  <c r="F1" i="44" s="1"/>
  <c r="AA3" i="3"/>
  <c r="B25" i="3"/>
  <c r="D26" i="3"/>
  <c r="B26" i="3" s="1"/>
  <c r="D27" i="3" l="1"/>
  <c r="B27" i="3" s="1"/>
  <c r="D28" i="3"/>
  <c r="B28" i="3" s="1"/>
  <c r="B20" i="3"/>
  <c r="W13" i="3"/>
  <c r="W12" i="3"/>
  <c r="Z11" i="3"/>
  <c r="Z10" i="3"/>
  <c r="Z9" i="3"/>
  <c r="B19" i="3" l="1"/>
  <c r="Y19" i="3"/>
  <c r="B24" i="3"/>
  <c r="Y24" i="3"/>
  <c r="Y23" i="3"/>
  <c r="B23" i="3"/>
  <c r="Y22" i="3"/>
  <c r="B22" i="3"/>
  <c r="Y21" i="3"/>
  <c r="B21" i="3"/>
  <c r="Y18" i="3"/>
  <c r="B18" i="3"/>
  <c r="C25" i="3"/>
  <c r="Y25" i="3"/>
  <c r="C27" i="3"/>
  <c r="Y27" i="3"/>
  <c r="C26" i="3"/>
  <c r="Y26" i="3"/>
  <c r="C24" i="3"/>
  <c r="C20" i="3"/>
  <c r="Y20" i="3"/>
  <c r="C19" i="3"/>
  <c r="C28" i="3"/>
  <c r="Y28" i="3"/>
  <c r="C18" i="3"/>
  <c r="C22" i="3"/>
  <c r="C23" i="3"/>
  <c r="C21" i="3"/>
  <c r="F1" i="4" l="1"/>
  <c r="C5" i="3" l="1"/>
  <c r="G17" i="5"/>
  <c r="Y8" i="3"/>
  <c r="G6" i="41"/>
  <c r="B18" i="22"/>
  <c r="C18" i="22"/>
  <c r="Y1" i="29" l="1"/>
  <c r="F1" i="42"/>
  <c r="F1" i="27"/>
  <c r="J1" i="5"/>
  <c r="D24" i="22"/>
  <c r="C24" i="22" s="1"/>
  <c r="G43" i="22"/>
  <c r="G42" i="22"/>
  <c r="D22" i="22"/>
  <c r="B22" i="22" s="1"/>
  <c r="F1" i="43" s="1"/>
  <c r="G40" i="22"/>
  <c r="C22" i="22" l="1"/>
  <c r="B24"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K037chesterPC</author>
  </authors>
  <commentList>
    <comment ref="B15" authorId="0" shapeId="0" xr:uid="{55FBD7B6-6BB5-4A29-A40C-955D04A8E5DF}">
      <text>
        <r>
          <rPr>
            <sz val="9"/>
            <color indexed="81"/>
            <rFont val="MS P ゴシック"/>
            <family val="3"/>
            <charset val="128"/>
          </rPr>
          <t>発送日を入力してください</t>
        </r>
      </text>
    </comment>
    <comment ref="G15" authorId="0" shapeId="0" xr:uid="{B8BF3A1F-44FD-4E5C-AD71-211BAA1E668F}">
      <text>
        <r>
          <rPr>
            <sz val="9"/>
            <color indexed="81"/>
            <rFont val="MS P ゴシック"/>
            <family val="3"/>
            <charset val="128"/>
          </rPr>
          <t>送付する書類を選択してください。選択肢がない場合は、追加入力可能です。追加した書類の返送を希望の場合は、送付書裏面の返送書類リストの詳細の関数を削除し、編集してください。</t>
        </r>
      </text>
    </comment>
    <comment ref="H15" authorId="0" shapeId="0" xr:uid="{9563AA71-6337-4393-B57B-0F5440787E26}">
      <text>
        <r>
          <rPr>
            <sz val="9"/>
            <color indexed="81"/>
            <rFont val="MS P ゴシック"/>
            <family val="3"/>
            <charset val="128"/>
          </rPr>
          <t>送付する通数を入力ください</t>
        </r>
      </text>
    </comment>
    <comment ref="I15" authorId="0" shapeId="0" xr:uid="{4BA650CC-F794-47CF-93AD-282E13D7219B}">
      <text>
        <r>
          <rPr>
            <sz val="9"/>
            <color indexed="81"/>
            <rFont val="MS P ゴシック"/>
            <family val="3"/>
            <charset val="128"/>
          </rPr>
          <t>送付書類のうち、返送してほしい書類に〇をつけてください</t>
        </r>
      </text>
    </comment>
    <comment ref="J15" authorId="0" shapeId="0" xr:uid="{D2661415-6A00-43B0-A2B5-125537F79396}">
      <text>
        <r>
          <rPr>
            <sz val="9"/>
            <color indexed="81"/>
            <rFont val="MS P ゴシック"/>
            <family val="3"/>
            <charset val="128"/>
          </rPr>
          <t>返送してほしい通数を入力ください</t>
        </r>
      </text>
    </comment>
    <comment ref="B16" authorId="0" shapeId="0" xr:uid="{F5ECDB23-F485-429B-B890-D84813218080}">
      <text>
        <r>
          <rPr>
            <sz val="9"/>
            <color indexed="81"/>
            <rFont val="MS P ゴシック"/>
            <family val="3"/>
            <charset val="128"/>
          </rPr>
          <t>送付したいご相続人様を選択ください</t>
        </r>
      </text>
    </comment>
    <comment ref="G26" authorId="0" shapeId="0" xr:uid="{F94E2B3D-A878-45A6-8770-975E68DADF11}">
      <text>
        <r>
          <rPr>
            <sz val="9"/>
            <color indexed="81"/>
            <rFont val="MS P ゴシック"/>
            <family val="3"/>
            <charset val="128"/>
          </rPr>
          <t>お客様にご準備のうえ、ご返送いただきたい書類を入力ください</t>
        </r>
      </text>
    </comment>
    <comment ref="B30" authorId="0" shapeId="0" xr:uid="{973DD1C2-2092-4063-8125-45367F828B06}">
      <text>
        <r>
          <rPr>
            <sz val="9"/>
            <color indexed="81"/>
            <rFont val="MS P ゴシック"/>
            <family val="3"/>
            <charset val="128"/>
          </rPr>
          <t>基本情報(金融機関)に記載されている金融機関から
選択できます。「口座番号を確認したい証券会社」を選択してください。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K037chesterPC</author>
  </authors>
  <commentList>
    <comment ref="A8" authorId="0" shapeId="0" xr:uid="{97610BB7-D545-4791-A3D4-48F26772F223}">
      <text>
        <r>
          <rPr>
            <u/>
            <sz val="12"/>
            <color indexed="81"/>
            <rFont val="Meiryo UI"/>
            <family val="3"/>
            <charset val="128"/>
          </rPr>
          <t>すべての項目を入力してください。</t>
        </r>
        <r>
          <rPr>
            <sz val="12"/>
            <color indexed="81"/>
            <rFont val="Meiryo UI"/>
            <family val="3"/>
            <charset val="128"/>
          </rPr>
          <t xml:space="preserve">
但し委任状の日付はブランクのままでも問題ありません。
※送付先2がブランクのままの場合は、宛名シール下6枚が行チェのシールになります（TELは担当①の番号）</t>
        </r>
      </text>
    </comment>
    <comment ref="F8" authorId="0" shapeId="0" xr:uid="{CEC2A4BE-D44B-43A7-B26F-B2A280E143CD}">
      <text>
        <r>
          <rPr>
            <u/>
            <sz val="12"/>
            <color indexed="81"/>
            <rFont val="Meiryo UI"/>
            <family val="3"/>
            <charset val="128"/>
          </rPr>
          <t>送付したい書類をリストより選択してください。</t>
        </r>
        <r>
          <rPr>
            <sz val="12"/>
            <color indexed="81"/>
            <rFont val="Meiryo UI"/>
            <family val="3"/>
            <charset val="128"/>
          </rPr>
          <t xml:space="preserve">
リスト外の書類を送付する場合は、こちらに入力後、送付状シートへ移動し、通数の修正を行ってください。(1通でよければ修正不要です)
</t>
        </r>
      </text>
    </comment>
    <comment ref="H8" authorId="0" shapeId="0" xr:uid="{08719C8C-4EAC-4C0F-8CC5-D593286A2F32}">
      <text>
        <r>
          <rPr>
            <u/>
            <sz val="12"/>
            <color indexed="81"/>
            <rFont val="Meiryo UI"/>
            <family val="3"/>
            <charset val="128"/>
          </rPr>
          <t xml:space="preserve">返送書類リストに表示したい書類に☑をしてください。
</t>
        </r>
        <r>
          <rPr>
            <sz val="12"/>
            <color indexed="81"/>
            <rFont val="Meiryo UI"/>
            <family val="3"/>
            <charset val="128"/>
          </rPr>
          <t xml:space="preserve">
リスト外の書類や、通常返送を依頼しない書類(請求書、返信用封筒)を選択する場合は、こちらに☑後、返送書類リストシートへ移動し、該当項目の詳細、通数を修正ください。
</t>
        </r>
      </text>
    </comment>
    <comment ref="J8" authorId="0" shapeId="0" xr:uid="{D8912663-03DF-4002-9CAF-FD8C4A4D517D}">
      <text>
        <r>
          <rPr>
            <u/>
            <sz val="12"/>
            <color indexed="81"/>
            <rFont val="Meiryo UI"/>
            <family val="3"/>
            <charset val="128"/>
          </rPr>
          <t>返送書類リスト『⒉ご準備いただきたい書類』に表示したい書類を選択してください。</t>
        </r>
        <r>
          <rPr>
            <sz val="12"/>
            <color indexed="81"/>
            <rFont val="Meiryo UI"/>
            <family val="3"/>
            <charset val="128"/>
          </rPr>
          <t xml:space="preserve">
リスト外の書類を記載する場合は、こちらに入力後、返送書類リストシートへ移動し、該当項目の詳細、通数を修正ください。
※法定相続情報一覧図を選択する場合も通数を修正ください。</t>
        </r>
      </text>
    </comment>
    <comment ref="A21" authorId="0" shapeId="0" xr:uid="{4EF11B7F-8F90-4C06-8449-85D0989D22EB}">
      <text>
        <r>
          <rPr>
            <sz val="12"/>
            <color indexed="81"/>
            <rFont val="Meiryo UI"/>
            <family val="3"/>
            <charset val="128"/>
          </rPr>
          <t>①</t>
        </r>
        <r>
          <rPr>
            <u/>
            <sz val="12"/>
            <color indexed="81"/>
            <rFont val="Meiryo UI"/>
            <family val="3"/>
            <charset val="128"/>
          </rPr>
          <t>初回送付書類準備のタイミングで、わかっている範囲の情報を入力ください</t>
        </r>
        <r>
          <rPr>
            <sz val="12"/>
            <color indexed="81"/>
            <rFont val="Meiryo UI"/>
            <family val="3"/>
            <charset val="128"/>
          </rPr>
          <t xml:space="preserve">
　※代表相続人は初回の委任状にご署名ご捺印いただく相続人　　　　　　　　　　　　　　　　 ※その他の相続人は原則出生順　　　　　　　
　※苗字、名前の間は全角空白　　　　　　　※『〒』マークは省略するが、『-』は必要　　　　　※℡番号の『-』は必要
　※『一』丁目は漢数字　　　　　　　　　　　　※数字は半角
②連</t>
        </r>
        <r>
          <rPr>
            <u/>
            <sz val="12"/>
            <color indexed="81"/>
            <rFont val="Meiryo UI"/>
            <family val="3"/>
            <charset val="128"/>
          </rPr>
          <t>絡先一覧を取得した段階でわかる範囲で追加情報入力してください</t>
        </r>
        <r>
          <rPr>
            <sz val="12"/>
            <color indexed="81"/>
            <rFont val="Meiryo UI"/>
            <family val="3"/>
            <charset val="128"/>
          </rPr>
          <t xml:space="preserve">
③</t>
        </r>
        <r>
          <rPr>
            <u/>
            <sz val="12"/>
            <color indexed="81"/>
            <rFont val="Meiryo UI"/>
            <family val="3"/>
            <charset val="128"/>
          </rPr>
          <t>戸籍担当者さんは、法定相続情報一覧図と同じ情報に更新してください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K037chesterPC</author>
  </authors>
  <commentList>
    <comment ref="B16" authorId="0" shapeId="0" xr:uid="{3D4CD05E-5864-469E-BDAD-5936500917A1}">
      <text>
        <r>
          <rPr>
            <sz val="9"/>
            <color indexed="81"/>
            <rFont val="MS P ゴシック"/>
            <family val="3"/>
            <charset val="128"/>
          </rPr>
          <t>証券代行部の手続きのみのご依頼や、
銀行解約金入金先の口座情報と別に、
未受領配当金の入金先口座情報を確認したい時に、
ご使用ください。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K037chesterPC</author>
  </authors>
  <commentList>
    <comment ref="K3" authorId="0" shapeId="0" xr:uid="{3841120A-9922-4246-90BF-1C218AC57C34}">
      <text>
        <r>
          <rPr>
            <sz val="9"/>
            <color indexed="81"/>
            <rFont val="MS P ゴシック"/>
            <family val="3"/>
            <charset val="128"/>
          </rPr>
          <t>宛名シールを作成したい相続人様を選択してください。未選択の場合は、チェスターの住所等が表示されます。（横2つ）</t>
        </r>
      </text>
    </comment>
    <comment ref="K13" authorId="0" shapeId="0" xr:uid="{54A2D340-97DD-4DDE-8A48-083C81B10639}">
      <text>
        <r>
          <rPr>
            <sz val="9"/>
            <color indexed="81"/>
            <rFont val="MS P ゴシック"/>
            <family val="3"/>
            <charset val="128"/>
          </rPr>
          <t>宛名シールを作成したい相続人様を選択してください。未選択の場合は、チェスターの住所等が表示されます。（横2つ）</t>
        </r>
      </text>
    </comment>
    <comment ref="K23" authorId="0" shapeId="0" xr:uid="{7993AE82-AC1A-4808-AE09-097512F9B72C}">
      <text>
        <r>
          <rPr>
            <sz val="9"/>
            <color indexed="81"/>
            <rFont val="MS P ゴシック"/>
            <family val="3"/>
            <charset val="128"/>
          </rPr>
          <t>宛名シールを作成したい相続人様を選択してください。未選択の場合は、チェスターの住所等が表示されます。（横2つ）</t>
        </r>
      </text>
    </comment>
    <comment ref="K33" authorId="0" shapeId="0" xr:uid="{C979648B-5A3B-4BD3-9C16-A6C55F1C8A0A}">
      <text>
        <r>
          <rPr>
            <sz val="9"/>
            <color indexed="81"/>
            <rFont val="MS P ゴシック"/>
            <family val="3"/>
            <charset val="128"/>
          </rPr>
          <t>宛名シールを作成したい相続人様を選択してください。未選択の場合は、チェスターの住所等が表示されます。（横2つ）</t>
        </r>
      </text>
    </comment>
    <comment ref="K43" authorId="0" shapeId="0" xr:uid="{FA69956A-5942-4283-9F70-B723FDF77B61}">
      <text>
        <r>
          <rPr>
            <sz val="9"/>
            <color indexed="81"/>
            <rFont val="MS P ゴシック"/>
            <family val="3"/>
            <charset val="128"/>
          </rPr>
          <t>宛名シールを作成したい相続人様を選択してください。未選択の場合は、チェスターの住所等が表示されます。（横2つ）</t>
        </r>
      </text>
    </comment>
    <comment ref="K53" authorId="0" shapeId="0" xr:uid="{353FD388-57A3-45CE-BF6E-E3F5A86E5D45}">
      <text>
        <r>
          <rPr>
            <sz val="9"/>
            <color indexed="81"/>
            <rFont val="MS P ゴシック"/>
            <family val="3"/>
            <charset val="128"/>
          </rPr>
          <t>宛名シールを作成したい相続人様を選択してください。未選択の場合は、チェスターの住所等が表示されます。（横2つ）</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<sst xmlns="http://schemas.openxmlformats.org/spreadsheetml/2006/main" count="901" uniqueCount="627">
  <si>
    <t>顧客コード</t>
    <rPh sb="0" eb="2">
      <t>コキャク</t>
    </rPh>
    <phoneticPr fontId="2"/>
  </si>
  <si>
    <t>プラン</t>
    <phoneticPr fontId="2"/>
  </si>
  <si>
    <t>担当①</t>
    <rPh sb="0" eb="2">
      <t>タントウ</t>
    </rPh>
    <phoneticPr fontId="2"/>
  </si>
  <si>
    <t>被相続人</t>
    <rPh sb="0" eb="4">
      <t>ヒソウゾクニン</t>
    </rPh>
    <phoneticPr fontId="2"/>
  </si>
  <si>
    <t>氏名</t>
    <rPh sb="0" eb="2">
      <t>シメイ</t>
    </rPh>
    <phoneticPr fontId="2"/>
  </si>
  <si>
    <t>住所</t>
    <rPh sb="0" eb="2">
      <t>ジュウショ</t>
    </rPh>
    <phoneticPr fontId="2"/>
  </si>
  <si>
    <t>続柄</t>
    <rPh sb="0" eb="2">
      <t>ツヅキガラ</t>
    </rPh>
    <phoneticPr fontId="2"/>
  </si>
  <si>
    <t>浅倉</t>
    <rPh sb="0" eb="2">
      <t>アサクラ</t>
    </rPh>
    <phoneticPr fontId="2"/>
  </si>
  <si>
    <t>藤本</t>
    <rPh sb="0" eb="2">
      <t>フジモト</t>
    </rPh>
    <phoneticPr fontId="2"/>
  </si>
  <si>
    <t>石川</t>
    <rPh sb="0" eb="2">
      <t>イシカワ</t>
    </rPh>
    <phoneticPr fontId="2"/>
  </si>
  <si>
    <t>西田</t>
    <rPh sb="0" eb="2">
      <t>ニシダ</t>
    </rPh>
    <phoneticPr fontId="2"/>
  </si>
  <si>
    <t>池田</t>
    <rPh sb="0" eb="2">
      <t>イケダ</t>
    </rPh>
    <phoneticPr fontId="2"/>
  </si>
  <si>
    <t>吉田</t>
    <rPh sb="0" eb="2">
      <t>ヨシダ</t>
    </rPh>
    <phoneticPr fontId="2"/>
  </si>
  <si>
    <t>川原</t>
    <rPh sb="0" eb="2">
      <t>カワハラ</t>
    </rPh>
    <phoneticPr fontId="2"/>
  </si>
  <si>
    <t>君島</t>
    <rPh sb="0" eb="2">
      <t>キミジマ</t>
    </rPh>
    <phoneticPr fontId="2"/>
  </si>
  <si>
    <t>栗原</t>
    <rPh sb="0" eb="2">
      <t>クリハラ</t>
    </rPh>
    <phoneticPr fontId="2"/>
  </si>
  <si>
    <t>山崎</t>
    <rPh sb="0" eb="2">
      <t>ヤマサキ</t>
    </rPh>
    <phoneticPr fontId="2"/>
  </si>
  <si>
    <t>青柳</t>
    <rPh sb="0" eb="2">
      <t>アオヤギ</t>
    </rPh>
    <phoneticPr fontId="2"/>
  </si>
  <si>
    <t>山口</t>
    <rPh sb="0" eb="2">
      <t>ヤマグチ</t>
    </rPh>
    <phoneticPr fontId="2"/>
  </si>
  <si>
    <t>佐竹</t>
    <rPh sb="0" eb="2">
      <t>サタケ</t>
    </rPh>
    <phoneticPr fontId="2"/>
  </si>
  <si>
    <t>石井</t>
    <rPh sb="0" eb="2">
      <t>イシイ</t>
    </rPh>
    <phoneticPr fontId="2"/>
  </si>
  <si>
    <t>松本</t>
    <rPh sb="0" eb="2">
      <t>マツモト</t>
    </rPh>
    <phoneticPr fontId="2"/>
  </si>
  <si>
    <t>金井</t>
    <rPh sb="0" eb="2">
      <t>カナイ</t>
    </rPh>
    <phoneticPr fontId="2"/>
  </si>
  <si>
    <t>佐野</t>
    <rPh sb="0" eb="2">
      <t>サノ</t>
    </rPh>
    <phoneticPr fontId="2"/>
  </si>
  <si>
    <t>柴田</t>
    <rPh sb="0" eb="2">
      <t>シバタ</t>
    </rPh>
    <phoneticPr fontId="2"/>
  </si>
  <si>
    <t>拠点</t>
    <rPh sb="0" eb="2">
      <t>キョテン</t>
    </rPh>
    <phoneticPr fontId="2"/>
  </si>
  <si>
    <t>東京</t>
    <rPh sb="0" eb="2">
      <t>トウキョウ</t>
    </rPh>
    <phoneticPr fontId="2"/>
  </si>
  <si>
    <t>新宿</t>
    <rPh sb="0" eb="2">
      <t>シンジュク</t>
    </rPh>
    <phoneticPr fontId="2"/>
  </si>
  <si>
    <t>横浜</t>
    <rPh sb="0" eb="2">
      <t>ヨコハマ</t>
    </rPh>
    <phoneticPr fontId="2"/>
  </si>
  <si>
    <t>名古屋</t>
    <rPh sb="0" eb="3">
      <t>ナゴヤ</t>
    </rPh>
    <phoneticPr fontId="2"/>
  </si>
  <si>
    <t>大阪</t>
    <rPh sb="0" eb="2">
      <t>オオサカ</t>
    </rPh>
    <phoneticPr fontId="2"/>
  </si>
  <si>
    <t>相続人②</t>
    <rPh sb="0" eb="2">
      <t>ソウゾク</t>
    </rPh>
    <rPh sb="2" eb="3">
      <t>ニン</t>
    </rPh>
    <phoneticPr fontId="2"/>
  </si>
  <si>
    <t>相続人①(代表)</t>
    <rPh sb="0" eb="3">
      <t>ソウゾクニン</t>
    </rPh>
    <rPh sb="5" eb="7">
      <t>ダイヒョウ</t>
    </rPh>
    <phoneticPr fontId="2"/>
  </si>
  <si>
    <t>相続人③</t>
    <rPh sb="0" eb="2">
      <t>ソウゾク</t>
    </rPh>
    <rPh sb="2" eb="3">
      <t>ニン</t>
    </rPh>
    <phoneticPr fontId="2"/>
  </si>
  <si>
    <t>相続人④</t>
    <rPh sb="0" eb="2">
      <t>ソウゾク</t>
    </rPh>
    <rPh sb="2" eb="3">
      <t>ニン</t>
    </rPh>
    <phoneticPr fontId="2"/>
  </si>
  <si>
    <t>相続人⑤</t>
    <rPh sb="0" eb="2">
      <t>ソウゾク</t>
    </rPh>
    <rPh sb="2" eb="3">
      <t>ニン</t>
    </rPh>
    <phoneticPr fontId="2"/>
  </si>
  <si>
    <t>相続人⑥</t>
    <rPh sb="0" eb="2">
      <t>ソウゾク</t>
    </rPh>
    <rPh sb="2" eb="3">
      <t>ニン</t>
    </rPh>
    <phoneticPr fontId="2"/>
  </si>
  <si>
    <t>相続人⑦</t>
    <rPh sb="0" eb="2">
      <t>ソウゾク</t>
    </rPh>
    <rPh sb="2" eb="3">
      <t>ニン</t>
    </rPh>
    <phoneticPr fontId="2"/>
  </si>
  <si>
    <t>相続人⑧</t>
    <rPh sb="0" eb="2">
      <t>ソウゾク</t>
    </rPh>
    <rPh sb="2" eb="3">
      <t>ニン</t>
    </rPh>
    <phoneticPr fontId="2"/>
  </si>
  <si>
    <t>相続人⑨</t>
    <rPh sb="0" eb="3">
      <t>ソウゾクニン</t>
    </rPh>
    <phoneticPr fontId="2"/>
  </si>
  <si>
    <t>相続人⑩</t>
    <rPh sb="0" eb="3">
      <t>ソウゾクニン</t>
    </rPh>
    <phoneticPr fontId="2"/>
  </si>
  <si>
    <t>顧客名</t>
    <rPh sb="0" eb="2">
      <t>コキャク</t>
    </rPh>
    <rPh sb="2" eb="3">
      <t>メイ</t>
    </rPh>
    <phoneticPr fontId="2"/>
  </si>
  <si>
    <t>基本情報入力</t>
    <rPh sb="0" eb="2">
      <t>キホン</t>
    </rPh>
    <rPh sb="2" eb="4">
      <t>ジョウホウ</t>
    </rPh>
    <rPh sb="4" eb="6">
      <t>ニュウリョク</t>
    </rPh>
    <phoneticPr fontId="2"/>
  </si>
  <si>
    <t>書類送付のご案内</t>
    <phoneticPr fontId="11"/>
  </si>
  <si>
    <t>担当：</t>
    <phoneticPr fontId="11"/>
  </si>
  <si>
    <t>拝啓　平素は格別のご高配を賜り厚く御礼申し上げます。</t>
    <rPh sb="0" eb="2">
      <t>ハイケイ</t>
    </rPh>
    <rPh sb="3" eb="5">
      <t>ヘイソ</t>
    </rPh>
    <rPh sb="6" eb="8">
      <t>カクベツ</t>
    </rPh>
    <rPh sb="10" eb="12">
      <t>コウハイ</t>
    </rPh>
    <rPh sb="13" eb="14">
      <t>タマワ</t>
    </rPh>
    <rPh sb="15" eb="16">
      <t>アツ</t>
    </rPh>
    <rPh sb="17" eb="19">
      <t>オンレイ</t>
    </rPh>
    <rPh sb="19" eb="20">
      <t>モウ</t>
    </rPh>
    <rPh sb="21" eb="22">
      <t>ア</t>
    </rPh>
    <phoneticPr fontId="11"/>
  </si>
  <si>
    <t>さて、本日下記の資料をお届け申し上げましたので、</t>
    <rPh sb="3" eb="5">
      <t>ホンジツ</t>
    </rPh>
    <rPh sb="5" eb="7">
      <t>カキ</t>
    </rPh>
    <rPh sb="8" eb="10">
      <t>シリョウ</t>
    </rPh>
    <rPh sb="12" eb="13">
      <t>トド</t>
    </rPh>
    <rPh sb="14" eb="15">
      <t>モウ</t>
    </rPh>
    <rPh sb="16" eb="17">
      <t>ア</t>
    </rPh>
    <phoneticPr fontId="11"/>
  </si>
  <si>
    <t>御査収いただきますようお願い申し上げます。敬具</t>
    <rPh sb="0" eb="3">
      <t>ゴサシュウ</t>
    </rPh>
    <rPh sb="12" eb="13">
      <t>ネガ</t>
    </rPh>
    <rPh sb="14" eb="15">
      <t>モウ</t>
    </rPh>
    <rPh sb="16" eb="17">
      <t>ア</t>
    </rPh>
    <rPh sb="21" eb="23">
      <t>ケイグ</t>
    </rPh>
    <phoneticPr fontId="11"/>
  </si>
  <si>
    <t>TEL:</t>
    <phoneticPr fontId="11"/>
  </si>
  <si>
    <t>FAX:</t>
    <phoneticPr fontId="11"/>
  </si>
  <si>
    <t>記</t>
    <rPh sb="0" eb="1">
      <t>キ</t>
    </rPh>
    <phoneticPr fontId="11"/>
  </si>
  <si>
    <t>摘要</t>
    <rPh sb="0" eb="2">
      <t>テキヨウ</t>
    </rPh>
    <phoneticPr fontId="11"/>
  </si>
  <si>
    <t>通数（部数）</t>
    <rPh sb="0" eb="2">
      <t>ツウスウ</t>
    </rPh>
    <rPh sb="3" eb="5">
      <t>ブスウ</t>
    </rPh>
    <phoneticPr fontId="11"/>
  </si>
  <si>
    <t>通信欄：</t>
    <rPh sb="0" eb="3">
      <t>ツウシンラン</t>
    </rPh>
    <phoneticPr fontId="11"/>
  </si>
  <si>
    <t>様</t>
  </si>
  <si>
    <t>〒</t>
    <phoneticPr fontId="2"/>
  </si>
  <si>
    <t>TEL</t>
    <phoneticPr fontId="2"/>
  </si>
  <si>
    <t>FAX</t>
    <phoneticPr fontId="2"/>
  </si>
  <si>
    <t>530-0005</t>
    <phoneticPr fontId="2"/>
  </si>
  <si>
    <t>大阪府大阪市北区中之島2-2-2</t>
    <rPh sb="0" eb="11">
      <t>５３０－０００５</t>
    </rPh>
    <phoneticPr fontId="2"/>
  </si>
  <si>
    <t>大阪中之島ビル13階</t>
    <rPh sb="0" eb="2">
      <t>オオサカ</t>
    </rPh>
    <rPh sb="2" eb="5">
      <t>ナカノシマ</t>
    </rPh>
    <rPh sb="9" eb="10">
      <t>カイ</t>
    </rPh>
    <phoneticPr fontId="2"/>
  </si>
  <si>
    <t>06-7878-4155</t>
    <phoneticPr fontId="2"/>
  </si>
  <si>
    <t>06-7878-8321</t>
    <phoneticPr fontId="2"/>
  </si>
  <si>
    <t>103-0028</t>
    <phoneticPr fontId="2"/>
  </si>
  <si>
    <t>東京都中央区八重洲1-7-20</t>
    <phoneticPr fontId="2"/>
  </si>
  <si>
    <t>八重洲口会館2階</t>
    <phoneticPr fontId="2"/>
  </si>
  <si>
    <t>03-6868-8328</t>
    <phoneticPr fontId="2"/>
  </si>
  <si>
    <t>03-6869-5041</t>
    <phoneticPr fontId="2"/>
  </si>
  <si>
    <t>163-0722</t>
    <phoneticPr fontId="2"/>
  </si>
  <si>
    <t>東京都新宿区西新宿2-7-1</t>
    <phoneticPr fontId="2"/>
  </si>
  <si>
    <t>新宿第一生命ビル22階</t>
    <phoneticPr fontId="2"/>
  </si>
  <si>
    <t>03-6868-8941</t>
    <phoneticPr fontId="2"/>
  </si>
  <si>
    <t>221-0835</t>
    <phoneticPr fontId="2"/>
  </si>
  <si>
    <t>045-550-4249</t>
    <phoneticPr fontId="2"/>
  </si>
  <si>
    <t>460-0008</t>
    <phoneticPr fontId="2"/>
  </si>
  <si>
    <t>愛知県名古屋市中区栄3-2-3</t>
    <phoneticPr fontId="2"/>
  </si>
  <si>
    <t>名古屋日興證券ビル6階</t>
    <phoneticPr fontId="2"/>
  </si>
  <si>
    <t>052-766-5024</t>
    <phoneticPr fontId="2"/>
  </si>
  <si>
    <t>03-6869-4741</t>
    <phoneticPr fontId="2"/>
  </si>
  <si>
    <t>045-550-3899</t>
    <phoneticPr fontId="2"/>
  </si>
  <si>
    <t>052-766-6451</t>
    <phoneticPr fontId="2"/>
  </si>
  <si>
    <t>返送書類リスト</t>
    <rPh sb="0" eb="2">
      <t>ヘンソウ</t>
    </rPh>
    <rPh sb="2" eb="4">
      <t>ショルイ</t>
    </rPh>
    <phoneticPr fontId="2"/>
  </si>
  <si>
    <t>☑</t>
    <phoneticPr fontId="2"/>
  </si>
  <si>
    <t>印鑑証明書数</t>
    <rPh sb="0" eb="5">
      <t>インカンショウメイショ</t>
    </rPh>
    <rPh sb="5" eb="6">
      <t>スウ</t>
    </rPh>
    <phoneticPr fontId="2"/>
  </si>
  <si>
    <t>名称</t>
    <rPh sb="0" eb="2">
      <t>メイショウ</t>
    </rPh>
    <phoneticPr fontId="2"/>
  </si>
  <si>
    <t>主たる事務所所在</t>
    <phoneticPr fontId="2"/>
  </si>
  <si>
    <t>従たる事務所所在</t>
    <phoneticPr fontId="2"/>
  </si>
  <si>
    <t>行政書士法人チェスター</t>
  </si>
  <si>
    <t>代表社員</t>
  </si>
  <si>
    <t>行政書士</t>
  </si>
  <si>
    <t>補助者</t>
  </si>
  <si>
    <t>行政書士</t>
    <rPh sb="0" eb="2">
      <t>ギョウセイ</t>
    </rPh>
    <rPh sb="2" eb="4">
      <t>ショシ</t>
    </rPh>
    <phoneticPr fontId="2"/>
  </si>
  <si>
    <t>補助者</t>
    <rPh sb="0" eb="3">
      <t>ホジョシャ</t>
    </rPh>
    <phoneticPr fontId="2"/>
  </si>
  <si>
    <t>全員</t>
    <rPh sb="0" eb="2">
      <t>ゼンイン</t>
    </rPh>
    <phoneticPr fontId="2"/>
  </si>
  <si>
    <t>代表</t>
    <rPh sb="0" eb="2">
      <t>ダイヒョウ</t>
    </rPh>
    <phoneticPr fontId="2"/>
  </si>
  <si>
    <t>伊原慶　</t>
    <phoneticPr fontId="2"/>
  </si>
  <si>
    <t>浅倉貴行　</t>
    <phoneticPr fontId="2"/>
  </si>
  <si>
    <t>西田竜介　</t>
    <phoneticPr fontId="2"/>
  </si>
  <si>
    <t>藤本義昌　</t>
    <phoneticPr fontId="2"/>
  </si>
  <si>
    <t>石川綾子　</t>
    <phoneticPr fontId="2"/>
  </si>
  <si>
    <t>吉田幸寛　</t>
    <phoneticPr fontId="2"/>
  </si>
  <si>
    <t>金井佑介　</t>
    <phoneticPr fontId="2"/>
  </si>
  <si>
    <t>　</t>
    <phoneticPr fontId="2"/>
  </si>
  <si>
    <t>池田絢音　</t>
    <rPh sb="0" eb="2">
      <t>イケダ</t>
    </rPh>
    <rPh sb="2" eb="4">
      <t>アヤネ</t>
    </rPh>
    <phoneticPr fontId="2"/>
  </si>
  <si>
    <t>増田千尋　</t>
    <rPh sb="0" eb="2">
      <t>マスダ</t>
    </rPh>
    <rPh sb="2" eb="4">
      <t>チヒロ</t>
    </rPh>
    <phoneticPr fontId="2"/>
  </si>
  <si>
    <t>川原千里　</t>
    <rPh sb="0" eb="2">
      <t>カワハラ</t>
    </rPh>
    <rPh sb="2" eb="4">
      <t>チサト</t>
    </rPh>
    <phoneticPr fontId="2"/>
  </si>
  <si>
    <t>山崎宇紗子　</t>
    <rPh sb="0" eb="2">
      <t>ヤマサキ</t>
    </rPh>
    <rPh sb="2" eb="3">
      <t>ウ</t>
    </rPh>
    <rPh sb="3" eb="5">
      <t>サエコ</t>
    </rPh>
    <phoneticPr fontId="2"/>
  </si>
  <si>
    <t>君島絵梨　</t>
    <rPh sb="0" eb="2">
      <t>キミジマ</t>
    </rPh>
    <rPh sb="2" eb="4">
      <t>エリ</t>
    </rPh>
    <phoneticPr fontId="2"/>
  </si>
  <si>
    <t>青柳由里子　</t>
    <rPh sb="0" eb="2">
      <t>アオヤギ</t>
    </rPh>
    <rPh sb="2" eb="5">
      <t>ユリコ</t>
    </rPh>
    <phoneticPr fontId="2"/>
  </si>
  <si>
    <t>山口知代　</t>
    <rPh sb="0" eb="2">
      <t>ヤマグチ</t>
    </rPh>
    <rPh sb="2" eb="4">
      <t>トモヨ</t>
    </rPh>
    <phoneticPr fontId="2"/>
  </si>
  <si>
    <t>増田波輝　</t>
    <rPh sb="0" eb="2">
      <t>マスダ</t>
    </rPh>
    <rPh sb="2" eb="3">
      <t>ナミ</t>
    </rPh>
    <rPh sb="3" eb="4">
      <t>テル</t>
    </rPh>
    <phoneticPr fontId="2"/>
  </si>
  <si>
    <t>佐竹彩　</t>
    <rPh sb="0" eb="2">
      <t>サタケ</t>
    </rPh>
    <rPh sb="2" eb="3">
      <t>アヤ</t>
    </rPh>
    <phoneticPr fontId="2"/>
  </si>
  <si>
    <t>佐野雅絵　</t>
    <rPh sb="0" eb="2">
      <t>サノ</t>
    </rPh>
    <rPh sb="2" eb="4">
      <t>マサエ</t>
    </rPh>
    <phoneticPr fontId="2"/>
  </si>
  <si>
    <t>委任事項の内容</t>
    <phoneticPr fontId="2"/>
  </si>
  <si>
    <t>①</t>
    <phoneticPr fontId="2"/>
  </si>
  <si>
    <t>②</t>
    <phoneticPr fontId="2"/>
  </si>
  <si>
    <t>被相続人作成の遺言の有無の調査、遺言公正証書の謄本の請求及び受領に関する一切の件</t>
  </si>
  <si>
    <t>官公署に対する諸手続、その他戸籍・除籍・原戸籍・戸籍の附票（本籍・筆頭者記載）、住民票（本籍・筆頭者・世帯主・続柄記載）、固定資産税評価証明書・固定資産名寄台帳の写し・農地基本台帳等（単有及び共有する全ての物件について）の申請並びに受領に関する一切の件</t>
  </si>
  <si>
    <t>③</t>
    <phoneticPr fontId="2"/>
  </si>
  <si>
    <t>④</t>
    <phoneticPr fontId="2"/>
  </si>
  <si>
    <t>金融機関、ゆうちょ銀行、証券会社、保険会社、かんぽ生命その他法人等に対する、現存照会または取引履歴・入出金照会、残高証明の請求及び受領、各種書類または証書類の提出および受領、預貯金の解約、被相続人が行っていた契約（契約に類する約定を含む）の承継・変更・解約、貸金庫取引の解約並びに保管物の代表相続人への引渡、株式・有価証券等寄託物件の返還または相続移管並びに受渡、払戻金・満期金・株式配当金・出資金・保険金・還付金・給付金・売却代金等の請求、連絡、照会、その他預貯金・生命保険・株式・有価証券類の一切の相続手続</t>
  </si>
  <si>
    <t>⑤</t>
    <phoneticPr fontId="2"/>
  </si>
  <si>
    <t>相続人が行なうべき前各号の事務について必要な調査ならびに助言</t>
  </si>
  <si>
    <t>その他、相続財産の承継のため必要な一切の事務</t>
    <phoneticPr fontId="2"/>
  </si>
  <si>
    <t>⑥</t>
    <phoneticPr fontId="2"/>
  </si>
  <si>
    <t>⑦</t>
    <phoneticPr fontId="2"/>
  </si>
  <si>
    <t>⑧</t>
    <phoneticPr fontId="2"/>
  </si>
  <si>
    <t>名称</t>
    <phoneticPr fontId="2"/>
  </si>
  <si>
    <t>下記事務他一切の事務を処理する権限を委任します。</t>
    <phoneticPr fontId="2"/>
  </si>
  <si>
    <t>証券保管振替機構に対する、上記被相続人及び私の登録済加入者情報に関する開示請求及びその情報を記載した「登録済加入者情報通知書」の受領等に係る一切の件</t>
    <phoneticPr fontId="2"/>
  </si>
  <si>
    <t>⑨</t>
    <phoneticPr fontId="2"/>
  </si>
  <si>
    <t>前各号の事務処理を行うために必要とされる復代理人選任に関する一切の件</t>
    <phoneticPr fontId="2"/>
  </si>
  <si>
    <t>本状及び添付書類の還付請求並びにその受領に関する一切の件</t>
  </si>
  <si>
    <t>⑩</t>
    <phoneticPr fontId="2"/>
  </si>
  <si>
    <t>住所1</t>
    <rPh sb="0" eb="2">
      <t>ジュウショ</t>
    </rPh>
    <phoneticPr fontId="2"/>
  </si>
  <si>
    <t>住所2</t>
    <rPh sb="0" eb="2">
      <t>ジュウショ</t>
    </rPh>
    <phoneticPr fontId="2"/>
  </si>
  <si>
    <t>相続人⑪</t>
    <rPh sb="0" eb="3">
      <t>ソウゾクニン</t>
    </rPh>
    <phoneticPr fontId="2"/>
  </si>
  <si>
    <t>相続人⑫</t>
    <rPh sb="0" eb="3">
      <t>ソウゾクニン</t>
    </rPh>
    <phoneticPr fontId="2"/>
  </si>
  <si>
    <t>登記担当</t>
    <rPh sb="0" eb="2">
      <t>トウキ</t>
    </rPh>
    <rPh sb="2" eb="4">
      <t>タントウ</t>
    </rPh>
    <phoneticPr fontId="2"/>
  </si>
  <si>
    <t>司チェ東京</t>
    <rPh sb="0" eb="1">
      <t>シ</t>
    </rPh>
    <rPh sb="3" eb="5">
      <t>トウキョウ</t>
    </rPh>
    <phoneticPr fontId="2"/>
  </si>
  <si>
    <t>司チェ大阪</t>
    <rPh sb="0" eb="1">
      <t>シ</t>
    </rPh>
    <rPh sb="3" eb="5">
      <t>オオサカ</t>
    </rPh>
    <phoneticPr fontId="2"/>
  </si>
  <si>
    <t>司チェ東京</t>
    <phoneticPr fontId="2"/>
  </si>
  <si>
    <t>司チェ大阪</t>
    <phoneticPr fontId="2"/>
  </si>
  <si>
    <t>103-0023</t>
    <phoneticPr fontId="2"/>
  </si>
  <si>
    <t>東京都中央区日本橋本町3‐2‐11</t>
    <phoneticPr fontId="2"/>
  </si>
  <si>
    <t>井門日本橋本町ビル4階</t>
    <phoneticPr fontId="2"/>
  </si>
  <si>
    <t>03-6869-5162</t>
    <phoneticPr fontId="2"/>
  </si>
  <si>
    <t>03-6869-5163</t>
    <phoneticPr fontId="2"/>
  </si>
  <si>
    <t>06-7878-3450</t>
    <phoneticPr fontId="2"/>
  </si>
  <si>
    <t>06-7878-3451</t>
    <phoneticPr fontId="2"/>
  </si>
  <si>
    <t>司法書士法人チェスター</t>
    <rPh sb="0" eb="6">
      <t>シホウショシホウジン</t>
    </rPh>
    <phoneticPr fontId="2"/>
  </si>
  <si>
    <t>料金</t>
    <rPh sb="0" eb="2">
      <t>リョウキン</t>
    </rPh>
    <phoneticPr fontId="2"/>
  </si>
  <si>
    <t>行チェ</t>
    <rPh sb="0" eb="1">
      <t>ギョウ</t>
    </rPh>
    <phoneticPr fontId="2"/>
  </si>
  <si>
    <t>着手金</t>
    <rPh sb="0" eb="2">
      <t>チャクシュ</t>
    </rPh>
    <rPh sb="2" eb="3">
      <t>キン</t>
    </rPh>
    <phoneticPr fontId="2"/>
  </si>
  <si>
    <t>残金</t>
    <rPh sb="0" eb="2">
      <t>ザンキン</t>
    </rPh>
    <phoneticPr fontId="2"/>
  </si>
  <si>
    <t>行政書士法人チェスター</t>
    <rPh sb="0" eb="4">
      <t>ギョウセイショシ</t>
    </rPh>
    <rPh sb="4" eb="6">
      <t>ホウジン</t>
    </rPh>
    <phoneticPr fontId="2"/>
  </si>
  <si>
    <t>フルサポートプラン</t>
    <phoneticPr fontId="2"/>
  </si>
  <si>
    <t>コスト重視プラン</t>
    <rPh sb="3" eb="5">
      <t>ジュウシ</t>
    </rPh>
    <phoneticPr fontId="2"/>
  </si>
  <si>
    <t>スタンダードプラン</t>
    <phoneticPr fontId="2"/>
  </si>
  <si>
    <t>番号</t>
    <rPh sb="0" eb="2">
      <t>バンゴウ</t>
    </rPh>
    <phoneticPr fontId="2"/>
  </si>
  <si>
    <t>№</t>
    <phoneticPr fontId="2"/>
  </si>
  <si>
    <t>以下、⒈⒉のリストに記載のあるものを、同封の返信用封筒にへ弊社へご返送願います</t>
    <rPh sb="0" eb="2">
      <t>イカ</t>
    </rPh>
    <rPh sb="10" eb="12">
      <t>キサイ</t>
    </rPh>
    <rPh sb="19" eb="21">
      <t>ドウフウ</t>
    </rPh>
    <rPh sb="22" eb="25">
      <t>ヘンシンヨウ</t>
    </rPh>
    <rPh sb="25" eb="27">
      <t>フウトウ</t>
    </rPh>
    <rPh sb="29" eb="31">
      <t>ヘイシャ</t>
    </rPh>
    <rPh sb="33" eb="35">
      <t>ヘンソウ</t>
    </rPh>
    <rPh sb="35" eb="36">
      <t>ネガ</t>
    </rPh>
    <phoneticPr fontId="2"/>
  </si>
  <si>
    <t>⒈　弊社からお送りした書類のうち、ご返送いただきたい書類</t>
    <rPh sb="2" eb="4">
      <t>ヘイシャ</t>
    </rPh>
    <rPh sb="7" eb="8">
      <t>オク</t>
    </rPh>
    <rPh sb="11" eb="13">
      <t>ショルイ</t>
    </rPh>
    <rPh sb="18" eb="20">
      <t>ヘンソウ</t>
    </rPh>
    <rPh sb="26" eb="28">
      <t>ショルイ</t>
    </rPh>
    <phoneticPr fontId="16"/>
  </si>
  <si>
    <t>詳細</t>
    <rPh sb="0" eb="2">
      <t>ショウサイ</t>
    </rPh>
    <phoneticPr fontId="2"/>
  </si>
  <si>
    <t>返送
通数</t>
    <rPh sb="0" eb="2">
      <t>ヘンソウ</t>
    </rPh>
    <rPh sb="3" eb="4">
      <t>ツウ</t>
    </rPh>
    <rPh sb="4" eb="5">
      <t>スウ</t>
    </rPh>
    <phoneticPr fontId="2"/>
  </si>
  <si>
    <t>重要事項説明書</t>
  </si>
  <si>
    <t>委任状</t>
  </si>
  <si>
    <t>記載の通りにご対応のうえ、ご返送願います。</t>
    <phoneticPr fontId="16"/>
  </si>
  <si>
    <t>ご署名ご捺印（実印）のうえ、ご返送願います。</t>
    <phoneticPr fontId="16"/>
  </si>
  <si>
    <t>初回送付日</t>
    <rPh sb="0" eb="2">
      <t>ショカイ</t>
    </rPh>
    <rPh sb="2" eb="4">
      <t>ソウフ</t>
    </rPh>
    <rPh sb="4" eb="5">
      <t>ヒ</t>
    </rPh>
    <phoneticPr fontId="2"/>
  </si>
  <si>
    <t>戸籍関係情報</t>
    <rPh sb="0" eb="6">
      <t>コセキカンケイジョウホウ</t>
    </rPh>
    <phoneticPr fontId="16"/>
  </si>
  <si>
    <t>値引きの有無</t>
    <rPh sb="0" eb="2">
      <t>ネビ</t>
    </rPh>
    <rPh sb="4" eb="6">
      <t>ウム</t>
    </rPh>
    <phoneticPr fontId="2"/>
  </si>
  <si>
    <t>あり</t>
    <phoneticPr fontId="2"/>
  </si>
  <si>
    <t>なし</t>
    <phoneticPr fontId="2"/>
  </si>
  <si>
    <t>⒈基本情報</t>
    <rPh sb="1" eb="3">
      <t>キホン</t>
    </rPh>
    <rPh sb="3" eb="5">
      <t>ジョウホウ</t>
    </rPh>
    <phoneticPr fontId="2"/>
  </si>
  <si>
    <t xml:space="preserve">弊社へご依頼いただく金融機関の一覧となります。もしもご依頼数に増減がある場合は、こちらの書面に追記願います。
</t>
    <phoneticPr fontId="16"/>
  </si>
  <si>
    <t>税チェ関与</t>
    <rPh sb="0" eb="1">
      <t>ゼイ</t>
    </rPh>
    <rPh sb="3" eb="5">
      <t>カンヨ</t>
    </rPh>
    <phoneticPr fontId="2"/>
  </si>
  <si>
    <t>わかる範囲でご記入願います。
※ご住所、本籍地、筆頭者が不明の場合、通常より戸籍収集にお時間を要する場合がございますこと、予めご了承ください。</t>
    <rPh sb="3" eb="5">
      <t>ハンイ</t>
    </rPh>
    <rPh sb="7" eb="9">
      <t>キニュウ</t>
    </rPh>
    <rPh sb="9" eb="10">
      <t>ネガ</t>
    </rPh>
    <rPh sb="17" eb="19">
      <t>ジュウショ</t>
    </rPh>
    <rPh sb="20" eb="23">
      <t>ホンセキチ</t>
    </rPh>
    <rPh sb="24" eb="27">
      <t>ヒットウシャ</t>
    </rPh>
    <rPh sb="28" eb="30">
      <t>フメイ</t>
    </rPh>
    <rPh sb="31" eb="33">
      <t>バアイ</t>
    </rPh>
    <rPh sb="34" eb="36">
      <t>ツウジョウ</t>
    </rPh>
    <rPh sb="44" eb="46">
      <t>ジカン</t>
    </rPh>
    <rPh sb="47" eb="48">
      <t>ヨウ</t>
    </rPh>
    <rPh sb="50" eb="52">
      <t>バアイ</t>
    </rPh>
    <rPh sb="61" eb="62">
      <t>アラカジ</t>
    </rPh>
    <rPh sb="64" eb="66">
      <t>リョウショウ</t>
    </rPh>
    <phoneticPr fontId="16"/>
  </si>
  <si>
    <t>送付先2</t>
    <rPh sb="0" eb="3">
      <t>ソウフサキ</t>
    </rPh>
    <phoneticPr fontId="2"/>
  </si>
  <si>
    <t>送付先1</t>
    <rPh sb="0" eb="3">
      <t>ソウフサキ</t>
    </rPh>
    <phoneticPr fontId="2"/>
  </si>
  <si>
    <t>契約書</t>
    <rPh sb="0" eb="3">
      <t>ケイヤクショ</t>
    </rPh>
    <phoneticPr fontId="2"/>
  </si>
  <si>
    <t>請求書</t>
    <rPh sb="0" eb="3">
      <t>セイキュウショ</t>
    </rPh>
    <phoneticPr fontId="2"/>
  </si>
  <si>
    <t>夫</t>
    <rPh sb="0" eb="1">
      <t>オット</t>
    </rPh>
    <phoneticPr fontId="3"/>
  </si>
  <si>
    <t>妻</t>
    <rPh sb="0" eb="1">
      <t>ツマ</t>
    </rPh>
    <phoneticPr fontId="3"/>
  </si>
  <si>
    <t>長男</t>
    <rPh sb="0" eb="2">
      <t>チョウナン</t>
    </rPh>
    <phoneticPr fontId="3"/>
  </si>
  <si>
    <t>長女</t>
    <rPh sb="0" eb="2">
      <t>チョウジョ</t>
    </rPh>
    <phoneticPr fontId="3"/>
  </si>
  <si>
    <t>二男</t>
    <rPh sb="0" eb="2">
      <t>ジナン</t>
    </rPh>
    <phoneticPr fontId="3"/>
  </si>
  <si>
    <t>二女</t>
    <rPh sb="0" eb="2">
      <t>ジジョ</t>
    </rPh>
    <phoneticPr fontId="3"/>
  </si>
  <si>
    <t>三男</t>
    <rPh sb="0" eb="2">
      <t>サンナン</t>
    </rPh>
    <phoneticPr fontId="3"/>
  </si>
  <si>
    <t>三女</t>
    <rPh sb="0" eb="2">
      <t>サンジョ</t>
    </rPh>
    <phoneticPr fontId="3"/>
  </si>
  <si>
    <t>四男</t>
    <rPh sb="0" eb="2">
      <t>ヨンナン</t>
    </rPh>
    <phoneticPr fontId="3"/>
  </si>
  <si>
    <t>四女</t>
    <rPh sb="0" eb="2">
      <t>ヨンジョ</t>
    </rPh>
    <phoneticPr fontId="3"/>
  </si>
  <si>
    <t>五男</t>
    <rPh sb="0" eb="2">
      <t>ゴナン</t>
    </rPh>
    <phoneticPr fontId="3"/>
  </si>
  <si>
    <t>五女</t>
    <rPh sb="0" eb="2">
      <t>ゴジョ</t>
    </rPh>
    <phoneticPr fontId="3"/>
  </si>
  <si>
    <t>養子</t>
    <rPh sb="0" eb="2">
      <t>ヨウシ</t>
    </rPh>
    <phoneticPr fontId="3"/>
  </si>
  <si>
    <t>兄</t>
    <rPh sb="0" eb="1">
      <t>アニ</t>
    </rPh>
    <phoneticPr fontId="3"/>
  </si>
  <si>
    <t>姉</t>
    <rPh sb="0" eb="1">
      <t>アネ</t>
    </rPh>
    <phoneticPr fontId="3"/>
  </si>
  <si>
    <t>弟</t>
    <rPh sb="0" eb="1">
      <t>オトウト</t>
    </rPh>
    <phoneticPr fontId="3"/>
  </si>
  <si>
    <t>妹</t>
    <rPh sb="0" eb="1">
      <t>イモウト</t>
    </rPh>
    <phoneticPr fontId="3"/>
  </si>
  <si>
    <t>甥・代襲者</t>
    <rPh sb="0" eb="1">
      <t>オイ</t>
    </rPh>
    <rPh sb="2" eb="4">
      <t>ダイシュウ</t>
    </rPh>
    <rPh sb="4" eb="5">
      <t>シャ</t>
    </rPh>
    <phoneticPr fontId="3"/>
  </si>
  <si>
    <t>姪・代襲者</t>
    <rPh sb="0" eb="1">
      <t>メイ</t>
    </rPh>
    <rPh sb="2" eb="4">
      <t>ダイシュウ</t>
    </rPh>
    <rPh sb="4" eb="5">
      <t>シャ</t>
    </rPh>
    <phoneticPr fontId="3"/>
  </si>
  <si>
    <t>父</t>
    <rPh sb="0" eb="1">
      <t>チチ</t>
    </rPh>
    <phoneticPr fontId="3"/>
  </si>
  <si>
    <t>母</t>
    <rPh sb="0" eb="1">
      <t>ハハ</t>
    </rPh>
    <phoneticPr fontId="3"/>
  </si>
  <si>
    <t>養父</t>
    <rPh sb="0" eb="2">
      <t>ヨウフ</t>
    </rPh>
    <phoneticPr fontId="3"/>
  </si>
  <si>
    <t>養母</t>
    <rPh sb="0" eb="2">
      <t>ヨウボ</t>
    </rPh>
    <phoneticPr fontId="3"/>
  </si>
  <si>
    <t>直通℡</t>
    <rPh sb="0" eb="2">
      <t>チョクツウ</t>
    </rPh>
    <phoneticPr fontId="2"/>
  </si>
  <si>
    <t>050-6882-5719</t>
    <phoneticPr fontId="2"/>
  </si>
  <si>
    <t>050-6865-6198</t>
    <phoneticPr fontId="2"/>
  </si>
  <si>
    <t>050-6882-5723</t>
    <phoneticPr fontId="2"/>
  </si>
  <si>
    <t>050-6882-5720</t>
    <phoneticPr fontId="2"/>
  </si>
  <si>
    <t>宮城</t>
    <rPh sb="0" eb="2">
      <t>ミヤギ</t>
    </rPh>
    <phoneticPr fontId="2"/>
  </si>
  <si>
    <t>050-6861-8542</t>
    <phoneticPr fontId="2"/>
  </si>
  <si>
    <t>050-6861-8142</t>
    <phoneticPr fontId="2"/>
  </si>
  <si>
    <t>050-6861-5377</t>
    <phoneticPr fontId="2"/>
  </si>
  <si>
    <t>050-6861-5751</t>
    <phoneticPr fontId="2"/>
  </si>
  <si>
    <t>050-6883-0604</t>
    <phoneticPr fontId="2"/>
  </si>
  <si>
    <t>050-6883-4015</t>
    <phoneticPr fontId="2"/>
  </si>
  <si>
    <t>050-6883-4012</t>
    <phoneticPr fontId="2"/>
  </si>
  <si>
    <t>050-6883-0136</t>
    <phoneticPr fontId="2"/>
  </si>
  <si>
    <t>050-6861-8090</t>
    <phoneticPr fontId="2"/>
  </si>
  <si>
    <t>050-6882-5726</t>
    <phoneticPr fontId="2"/>
  </si>
  <si>
    <t>050-6861-8498</t>
    <phoneticPr fontId="2"/>
  </si>
  <si>
    <t>050-6861-8155</t>
    <phoneticPr fontId="2"/>
  </si>
  <si>
    <t>052-766-6459</t>
    <phoneticPr fontId="2"/>
  </si>
  <si>
    <t>遺産整理業務（個別積上型）</t>
    <rPh sb="0" eb="2">
      <t>イサン</t>
    </rPh>
    <rPh sb="2" eb="4">
      <t>セイリ</t>
    </rPh>
    <rPh sb="4" eb="6">
      <t>ギョウム</t>
    </rPh>
    <rPh sb="7" eb="9">
      <t>コベツ</t>
    </rPh>
    <rPh sb="9" eb="10">
      <t>ツ</t>
    </rPh>
    <rPh sb="10" eb="11">
      <t>ア</t>
    </rPh>
    <rPh sb="11" eb="12">
      <t>ガタ</t>
    </rPh>
    <phoneticPr fontId="2"/>
  </si>
  <si>
    <t>⒉送付書類</t>
    <rPh sb="1" eb="3">
      <t>ソウフ</t>
    </rPh>
    <rPh sb="3" eb="5">
      <t>ショルイ</t>
    </rPh>
    <phoneticPr fontId="2"/>
  </si>
  <si>
    <t>返信用封筒通数</t>
    <rPh sb="0" eb="3">
      <t>ヘンシンヨウ</t>
    </rPh>
    <rPh sb="3" eb="5">
      <t>フウトウ</t>
    </rPh>
    <rPh sb="5" eb="6">
      <t>ツウ</t>
    </rPh>
    <rPh sb="6" eb="7">
      <t>スウ</t>
    </rPh>
    <phoneticPr fontId="2"/>
  </si>
  <si>
    <t>委任状通数</t>
    <rPh sb="0" eb="3">
      <t>イニンジョウ</t>
    </rPh>
    <rPh sb="3" eb="4">
      <t>ツウ</t>
    </rPh>
    <rPh sb="4" eb="5">
      <t>スウ</t>
    </rPh>
    <phoneticPr fontId="2"/>
  </si>
  <si>
    <t>返送書類リスト記載チェック</t>
    <rPh sb="0" eb="2">
      <t>ヘンソウ</t>
    </rPh>
    <rPh sb="2" eb="4">
      <t>ショルイ</t>
    </rPh>
    <rPh sb="7" eb="9">
      <t>キサイ</t>
    </rPh>
    <phoneticPr fontId="2"/>
  </si>
  <si>
    <t>印鑑証明書（原本）</t>
    <rPh sb="0" eb="2">
      <t>インカン</t>
    </rPh>
    <rPh sb="2" eb="5">
      <t>ショウメイショ</t>
    </rPh>
    <rPh sb="6" eb="8">
      <t>ゲンポン</t>
    </rPh>
    <phoneticPr fontId="2"/>
  </si>
  <si>
    <t>被相続人様の
出生～死亡の戸籍（原本）</t>
    <phoneticPr fontId="2"/>
  </si>
  <si>
    <t>お亡くなりになった日の記載のある除住民票（原本）をご準備いただき、ご返送願います。</t>
  </si>
  <si>
    <t>相続人様の
現在の戸籍（原本）
・住民票（原本）</t>
    <phoneticPr fontId="2"/>
  </si>
  <si>
    <t>司法書士法人チェスター大阪</t>
    <rPh sb="0" eb="6">
      <t>シホウショシホウジン</t>
    </rPh>
    <rPh sb="11" eb="13">
      <t>オオサカ</t>
    </rPh>
    <phoneticPr fontId="2"/>
  </si>
  <si>
    <t>本人</t>
    <rPh sb="0" eb="2">
      <t>ホンニン</t>
    </rPh>
    <phoneticPr fontId="2"/>
  </si>
  <si>
    <t>委任状の日付</t>
    <rPh sb="0" eb="3">
      <t>イニンジョウ</t>
    </rPh>
    <rPh sb="4" eb="6">
      <t>ヒヅケ</t>
    </rPh>
    <phoneticPr fontId="2"/>
  </si>
  <si>
    <t>遺言執行者業務</t>
    <rPh sb="0" eb="2">
      <t>イゴン</t>
    </rPh>
    <rPh sb="2" eb="5">
      <t>シッコウシャ</t>
    </rPh>
    <rPh sb="5" eb="7">
      <t>ギョウム</t>
    </rPh>
    <phoneticPr fontId="2"/>
  </si>
  <si>
    <t>遺言公正証書</t>
    <rPh sb="0" eb="2">
      <t>イゴン</t>
    </rPh>
    <rPh sb="2" eb="6">
      <t>コウセイショウショ</t>
    </rPh>
    <phoneticPr fontId="2"/>
  </si>
  <si>
    <t>「正本」または「謄本」をお預かりされている場合はその全てをご返送願います。</t>
    <rPh sb="1" eb="3">
      <t>セイホン</t>
    </rPh>
    <rPh sb="8" eb="10">
      <t>トウホン</t>
    </rPh>
    <rPh sb="13" eb="14">
      <t>アズ</t>
    </rPh>
    <rPh sb="21" eb="23">
      <t>バアイ</t>
    </rPh>
    <rPh sb="26" eb="27">
      <t>スベ</t>
    </rPh>
    <rPh sb="30" eb="32">
      <t>ヘンソウ</t>
    </rPh>
    <rPh sb="32" eb="33">
      <t>ネガ</t>
    </rPh>
    <phoneticPr fontId="2"/>
  </si>
  <si>
    <t>委任状</t>
    <phoneticPr fontId="2"/>
  </si>
  <si>
    <t>口座の凍結についての確認書</t>
    <phoneticPr fontId="2"/>
  </si>
  <si>
    <t>相続人連絡先等一覧</t>
    <rPh sb="0" eb="2">
      <t>ソウゾク</t>
    </rPh>
    <rPh sb="2" eb="3">
      <t>ニン</t>
    </rPh>
    <rPh sb="3" eb="6">
      <t>レンラクサキ</t>
    </rPh>
    <rPh sb="6" eb="7">
      <t>トウ</t>
    </rPh>
    <rPh sb="7" eb="9">
      <t>イチラン</t>
    </rPh>
    <phoneticPr fontId="16"/>
  </si>
  <si>
    <t>の相続財産の承継に関して必要な</t>
    <phoneticPr fontId="2"/>
  </si>
  <si>
    <t>担当②</t>
    <rPh sb="0" eb="2">
      <t>タントウ</t>
    </rPh>
    <phoneticPr fontId="2"/>
  </si>
  <si>
    <t>⑴</t>
    <phoneticPr fontId="2"/>
  </si>
  <si>
    <t>⑵</t>
    <phoneticPr fontId="2"/>
  </si>
  <si>
    <t>⑶</t>
    <phoneticPr fontId="2"/>
  </si>
  <si>
    <t>⑷</t>
    <phoneticPr fontId="2"/>
  </si>
  <si>
    <t>⑸</t>
    <phoneticPr fontId="2"/>
  </si>
  <si>
    <t>⑹</t>
    <phoneticPr fontId="2"/>
  </si>
  <si>
    <t>⑺</t>
    <phoneticPr fontId="2"/>
  </si>
  <si>
    <t>⑻</t>
    <phoneticPr fontId="2"/>
  </si>
  <si>
    <t>⑼</t>
    <phoneticPr fontId="2"/>
  </si>
  <si>
    <t>⑽</t>
    <phoneticPr fontId="2"/>
  </si>
  <si>
    <t>⑾</t>
    <phoneticPr fontId="2"/>
  </si>
  <si>
    <t>⒊返送書類</t>
    <rPh sb="1" eb="3">
      <t>ヘンソウ</t>
    </rPh>
    <rPh sb="3" eb="5">
      <t>ショルイ</t>
    </rPh>
    <phoneticPr fontId="2"/>
  </si>
  <si>
    <t>⒋被相続人・相続人　基本情報</t>
    <rPh sb="1" eb="2">
      <t>ヒ</t>
    </rPh>
    <rPh sb="2" eb="4">
      <t>ソウゾク</t>
    </rPh>
    <rPh sb="4" eb="5">
      <t>ニン</t>
    </rPh>
    <rPh sb="6" eb="9">
      <t>ソウゾクニン</t>
    </rPh>
    <rPh sb="10" eb="12">
      <t>キホン</t>
    </rPh>
    <rPh sb="12" eb="14">
      <t>ジョウホウ</t>
    </rPh>
    <phoneticPr fontId="2"/>
  </si>
  <si>
    <t>氏名
(行政　太郎)</t>
    <rPh sb="0" eb="2">
      <t>シメイ</t>
    </rPh>
    <rPh sb="4" eb="6">
      <t>ギョウセイ</t>
    </rPh>
    <rPh sb="7" eb="9">
      <t>タロウ</t>
    </rPh>
    <phoneticPr fontId="2"/>
  </si>
  <si>
    <r>
      <t xml:space="preserve">ふりがな
</t>
    </r>
    <r>
      <rPr>
        <b/>
        <sz val="6"/>
        <color theme="1"/>
        <rFont val="メイリオ"/>
        <family val="3"/>
        <charset val="128"/>
      </rPr>
      <t>(ぎょうせい　たろう)</t>
    </r>
    <phoneticPr fontId="2"/>
  </si>
  <si>
    <t>生年月日
(R1.1.1)</t>
    <rPh sb="0" eb="4">
      <t>セイネンガッピ</t>
    </rPh>
    <phoneticPr fontId="2"/>
  </si>
  <si>
    <t>死亡日
(R1.1.1)</t>
    <rPh sb="0" eb="2">
      <t>シボウ</t>
    </rPh>
    <rPh sb="2" eb="3">
      <t>ヒ</t>
    </rPh>
    <phoneticPr fontId="2"/>
  </si>
  <si>
    <t>〒
(000-0000)</t>
    <phoneticPr fontId="2"/>
  </si>
  <si>
    <r>
      <t xml:space="preserve">住所1
</t>
    </r>
    <r>
      <rPr>
        <b/>
        <sz val="8"/>
        <color theme="1"/>
        <rFont val="メイリオ"/>
        <family val="3"/>
        <charset val="128"/>
      </rPr>
      <t>(東京都中央区八重洲一丁目7-20)</t>
    </r>
    <rPh sb="0" eb="2">
      <t>ジュウショ</t>
    </rPh>
    <rPh sb="5" eb="7">
      <t>トウキョウ</t>
    </rPh>
    <rPh sb="7" eb="8">
      <t>ト</t>
    </rPh>
    <rPh sb="8" eb="11">
      <t>チュウオウク</t>
    </rPh>
    <rPh sb="11" eb="14">
      <t>ヤエス</t>
    </rPh>
    <rPh sb="14" eb="17">
      <t>イッチョウメ</t>
    </rPh>
    <phoneticPr fontId="2"/>
  </si>
  <si>
    <r>
      <t xml:space="preserve">住所2
</t>
    </r>
    <r>
      <rPr>
        <b/>
        <sz val="8"/>
        <color theme="1"/>
        <rFont val="メイリオ"/>
        <family val="3"/>
        <charset val="128"/>
      </rPr>
      <t>(八重洲口会館2階)</t>
    </r>
    <rPh sb="0" eb="2">
      <t>ジュウショ</t>
    </rPh>
    <rPh sb="5" eb="8">
      <t>ヤエス</t>
    </rPh>
    <rPh sb="8" eb="9">
      <t>クチ</t>
    </rPh>
    <rPh sb="9" eb="11">
      <t>カイカン</t>
    </rPh>
    <rPh sb="12" eb="13">
      <t>カイ</t>
    </rPh>
    <phoneticPr fontId="2"/>
  </si>
  <si>
    <t>TEL
(00-0000-0000)</t>
    <phoneticPr fontId="2"/>
  </si>
  <si>
    <r>
      <t xml:space="preserve">本籍地
</t>
    </r>
    <r>
      <rPr>
        <b/>
        <sz val="8"/>
        <color theme="1"/>
        <rFont val="メイリオ"/>
        <family val="3"/>
        <charset val="128"/>
      </rPr>
      <t>(東京都中央区八重洲一丁目7番20号)</t>
    </r>
    <rPh sb="0" eb="3">
      <t>ホンセキチ</t>
    </rPh>
    <rPh sb="5" eb="7">
      <t>トウキョウ</t>
    </rPh>
    <rPh sb="7" eb="8">
      <t>ト</t>
    </rPh>
    <rPh sb="8" eb="11">
      <t>チュウオウク</t>
    </rPh>
    <rPh sb="11" eb="14">
      <t>ヤエス</t>
    </rPh>
    <rPh sb="14" eb="17">
      <t>イッチョウメ</t>
    </rPh>
    <rPh sb="18" eb="19">
      <t>バン</t>
    </rPh>
    <rPh sb="21" eb="22">
      <t>ゴウ</t>
    </rPh>
    <phoneticPr fontId="2"/>
  </si>
  <si>
    <t>筆頭者
(行政　太郎)</t>
    <rPh sb="0" eb="3">
      <t>ヒットウシャ</t>
    </rPh>
    <rPh sb="5" eb="7">
      <t>ギョウセイ</t>
    </rPh>
    <rPh sb="8" eb="10">
      <t>タロウ</t>
    </rPh>
    <phoneticPr fontId="2"/>
  </si>
  <si>
    <t>上記の者を 遺産整理受任者 に選任し、被相続人</t>
    <phoneticPr fontId="2"/>
  </si>
  <si>
    <t>法定相続情報一覧図</t>
    <rPh sb="0" eb="9">
      <t>ホウテイソウゾクジョウホウイチランズ</t>
    </rPh>
    <phoneticPr fontId="2"/>
  </si>
  <si>
    <t>今般の相続に関する法定相続情報一覧図（原本）をご取得済みの場合は、右記通数ご返送願います。</t>
    <rPh sb="0" eb="2">
      <t>コンパン</t>
    </rPh>
    <rPh sb="3" eb="5">
      <t>ソウゾク</t>
    </rPh>
    <rPh sb="6" eb="7">
      <t>カン</t>
    </rPh>
    <rPh sb="9" eb="18">
      <t>ホウテイソウゾクジョウホウイチランズ</t>
    </rPh>
    <rPh sb="19" eb="21">
      <t>ゲンポン</t>
    </rPh>
    <rPh sb="24" eb="26">
      <t>シュトク</t>
    </rPh>
    <rPh sb="26" eb="27">
      <t>ズ</t>
    </rPh>
    <rPh sb="29" eb="31">
      <t>バアイ</t>
    </rPh>
    <rPh sb="33" eb="35">
      <t>ウキ</t>
    </rPh>
    <rPh sb="35" eb="36">
      <t>ツウ</t>
    </rPh>
    <rPh sb="36" eb="37">
      <t>スウ</t>
    </rPh>
    <rPh sb="38" eb="40">
      <t>ヘンソウ</t>
    </rPh>
    <rPh sb="40" eb="41">
      <t>ネガ</t>
    </rPh>
    <phoneticPr fontId="2"/>
  </si>
  <si>
    <t>養女</t>
    <rPh sb="0" eb="2">
      <t>ヨウジョ</t>
    </rPh>
    <phoneticPr fontId="3"/>
  </si>
  <si>
    <t>孫・代襲者</t>
    <rPh sb="0" eb="1">
      <t>マゴ</t>
    </rPh>
    <rPh sb="2" eb="4">
      <t>ダイシュウ</t>
    </rPh>
    <rPh sb="4" eb="5">
      <t>シャ</t>
    </rPh>
    <phoneticPr fontId="2"/>
  </si>
  <si>
    <t>返信用封筒(書類の返送にご使用ください)</t>
    <rPh sb="0" eb="3">
      <t>ヘンシンヨウ</t>
    </rPh>
    <rPh sb="3" eb="5">
      <t>フウトウ</t>
    </rPh>
    <rPh sb="6" eb="8">
      <t>ショルイ</t>
    </rPh>
    <rPh sb="9" eb="11">
      <t>ヘンソウ</t>
    </rPh>
    <rPh sb="13" eb="15">
      <t>シヨウ</t>
    </rPh>
    <phoneticPr fontId="2"/>
  </si>
  <si>
    <t>今般相続手続に必要となる、遺産分割協議書、申請書、財産目録、遺産配分に関する説明書、その他一切の書類作成</t>
    <rPh sb="0" eb="2">
      <t>コンパン</t>
    </rPh>
    <phoneticPr fontId="2"/>
  </si>
  <si>
    <t>法定相続情報</t>
    <rPh sb="0" eb="2">
      <t>ホウテイ</t>
    </rPh>
    <rPh sb="2" eb="4">
      <t>ソウゾク</t>
    </rPh>
    <rPh sb="4" eb="6">
      <t>ジョウホウ</t>
    </rPh>
    <phoneticPr fontId="2"/>
  </si>
  <si>
    <t>配偶者</t>
    <rPh sb="0" eb="3">
      <t>ハイグウシャ</t>
    </rPh>
    <phoneticPr fontId="2"/>
  </si>
  <si>
    <t>相続人</t>
    <rPh sb="0" eb="3">
      <t>ソウゾクニン</t>
    </rPh>
    <phoneticPr fontId="2"/>
  </si>
  <si>
    <t>戸籍</t>
    <rPh sb="0" eb="2">
      <t>コセキ</t>
    </rPh>
    <phoneticPr fontId="2"/>
  </si>
  <si>
    <t>対象者</t>
    <rPh sb="0" eb="3">
      <t>タイショウシャ</t>
    </rPh>
    <phoneticPr fontId="2"/>
  </si>
  <si>
    <t>戸籍担当者</t>
    <rPh sb="0" eb="2">
      <t>コセキ</t>
    </rPh>
    <rPh sb="2" eb="5">
      <t>タントウシャ</t>
    </rPh>
    <phoneticPr fontId="2"/>
  </si>
  <si>
    <t>担当者</t>
    <rPh sb="0" eb="3">
      <t>タントウシャ</t>
    </rPh>
    <phoneticPr fontId="2"/>
  </si>
  <si>
    <t>増田　千尋</t>
    <rPh sb="0" eb="2">
      <t>マスダ</t>
    </rPh>
    <rPh sb="3" eb="5">
      <t>チヒロ</t>
    </rPh>
    <phoneticPr fontId="2"/>
  </si>
  <si>
    <t>増田</t>
    <rPh sb="0" eb="2">
      <t>マスダ</t>
    </rPh>
    <phoneticPr fontId="2"/>
  </si>
  <si>
    <t>御見積書</t>
    <rPh sb="0" eb="4">
      <t>オミツモリショ</t>
    </rPh>
    <phoneticPr fontId="2"/>
  </si>
  <si>
    <t>印鑑証明書 （原本）</t>
    <rPh sb="0" eb="2">
      <t>インカン</t>
    </rPh>
    <rPh sb="2" eb="5">
      <t>ショウメイショ</t>
    </rPh>
    <rPh sb="7" eb="9">
      <t>ゲンポン</t>
    </rPh>
    <phoneticPr fontId="2"/>
  </si>
  <si>
    <t>⒉　ご準備のうえ、ご返送いただきたい書類</t>
    <rPh sb="3" eb="5">
      <t>ジュンビ</t>
    </rPh>
    <rPh sb="10" eb="12">
      <t>ヘンソウ</t>
    </rPh>
    <rPh sb="18" eb="20">
      <t>ショルイ</t>
    </rPh>
    <phoneticPr fontId="16"/>
  </si>
  <si>
    <t>法定相続情報一覧図</t>
    <rPh sb="0" eb="6">
      <t>ホウテイソウゾクジョウホウ</t>
    </rPh>
    <rPh sb="6" eb="8">
      <t>イチラン</t>
    </rPh>
    <rPh sb="8" eb="9">
      <t>ズ</t>
    </rPh>
    <phoneticPr fontId="2"/>
  </si>
  <si>
    <t xml:space="preserve">　平素より大変お世話になっております。　
　法定相続情報一覧図をお送り致します。こちらは戸籍に代わり、相続関係をしめす公的な証明書となります。ご活用いただければ幸いです。
　ご不明点等ございましたらお気軽にご連絡ください。
　業務完了まで、何卒よろしくお願い致します。
</t>
    <rPh sb="1" eb="3">
      <t>ヘイソ</t>
    </rPh>
    <rPh sb="5" eb="7">
      <t>タイヘン</t>
    </rPh>
    <rPh sb="8" eb="10">
      <t>セワ</t>
    </rPh>
    <rPh sb="45" eb="47">
      <t>コセキ</t>
    </rPh>
    <rPh sb="48" eb="49">
      <t>カ</t>
    </rPh>
    <rPh sb="52" eb="54">
      <t>ソウゾク</t>
    </rPh>
    <rPh sb="54" eb="56">
      <t>カンケイ</t>
    </rPh>
    <rPh sb="60" eb="62">
      <t>コウテキ</t>
    </rPh>
    <rPh sb="63" eb="66">
      <t>ショウメイショ</t>
    </rPh>
    <phoneticPr fontId="2"/>
  </si>
  <si>
    <t>委任状</t>
    <rPh sb="0" eb="3">
      <t>イニンジョウ</t>
    </rPh>
    <phoneticPr fontId="2"/>
  </si>
  <si>
    <t>相続登記御見積書</t>
    <rPh sb="0" eb="2">
      <t>ソウゾク</t>
    </rPh>
    <rPh sb="2" eb="4">
      <t>トウキ</t>
    </rPh>
    <rPh sb="4" eb="8">
      <t>オミツモリショ</t>
    </rPh>
    <phoneticPr fontId="2"/>
  </si>
  <si>
    <t>印鑑証明書（原本）</t>
    <rPh sb="0" eb="5">
      <t>インカンショウメイショ</t>
    </rPh>
    <rPh sb="6" eb="8">
      <t>ゲンポン</t>
    </rPh>
    <phoneticPr fontId="2"/>
  </si>
  <si>
    <t>通数</t>
    <rPh sb="0" eb="1">
      <t>ツウ</t>
    </rPh>
    <rPh sb="1" eb="2">
      <t>スウ</t>
    </rPh>
    <phoneticPr fontId="2"/>
  </si>
  <si>
    <t>ご署名ご捺印（実印）のうえ、ご返送願います。</t>
    <phoneticPr fontId="2"/>
  </si>
  <si>
    <t>約1ヵ月以内に発行した印鑑証明書を右記通数ご返送願います。※マイナンバーカードがあれば、コンビニ取得可能です</t>
    <phoneticPr fontId="2"/>
  </si>
  <si>
    <t>発送日</t>
    <rPh sb="0" eb="2">
      <t>ハッソウ</t>
    </rPh>
    <rPh sb="2" eb="3">
      <t>ヒ</t>
    </rPh>
    <phoneticPr fontId="2"/>
  </si>
  <si>
    <t>返送書類①</t>
    <rPh sb="0" eb="2">
      <t>ヘンソウ</t>
    </rPh>
    <rPh sb="2" eb="4">
      <t>ショルイ</t>
    </rPh>
    <phoneticPr fontId="2"/>
  </si>
  <si>
    <t>返送書類②</t>
    <rPh sb="0" eb="2">
      <t>ヘンソウ</t>
    </rPh>
    <rPh sb="2" eb="4">
      <t>ショルイ</t>
    </rPh>
    <phoneticPr fontId="2"/>
  </si>
  <si>
    <t>返送書類③</t>
    <rPh sb="0" eb="2">
      <t>ヘンソウ</t>
    </rPh>
    <rPh sb="2" eb="4">
      <t>ショルイ</t>
    </rPh>
    <phoneticPr fontId="2"/>
  </si>
  <si>
    <t>ふりがな</t>
    <phoneticPr fontId="2"/>
  </si>
  <si>
    <t>生年月日</t>
    <rPh sb="0" eb="4">
      <t>セイネンガッピ</t>
    </rPh>
    <phoneticPr fontId="2"/>
  </si>
  <si>
    <t>内容</t>
    <rPh sb="0" eb="2">
      <t>ナイヨウ</t>
    </rPh>
    <phoneticPr fontId="2"/>
  </si>
  <si>
    <t>返送通数</t>
    <rPh sb="0" eb="2">
      <t>ヘンソウ</t>
    </rPh>
    <phoneticPr fontId="2"/>
  </si>
  <si>
    <t>内容をご確認のうえ、被相続人様の預貯金の解約金送金先に指定される口座の情報をご記入願います。</t>
    <rPh sb="0" eb="2">
      <t>ナイヨウ</t>
    </rPh>
    <rPh sb="4" eb="6">
      <t>カクニン</t>
    </rPh>
    <rPh sb="10" eb="15">
      <t>ヒソウゾクニンサマ</t>
    </rPh>
    <rPh sb="16" eb="19">
      <t>ヨチョキン</t>
    </rPh>
    <rPh sb="20" eb="22">
      <t>カイヤク</t>
    </rPh>
    <rPh sb="22" eb="23">
      <t>キン</t>
    </rPh>
    <rPh sb="23" eb="25">
      <t>ソウキン</t>
    </rPh>
    <rPh sb="25" eb="26">
      <t>サキ</t>
    </rPh>
    <rPh sb="27" eb="29">
      <t>シテイ</t>
    </rPh>
    <rPh sb="32" eb="34">
      <t>コウザ</t>
    </rPh>
    <rPh sb="35" eb="37">
      <t>ジョウホウ</t>
    </rPh>
    <rPh sb="39" eb="41">
      <t>キニュウ</t>
    </rPh>
    <rPh sb="41" eb="42">
      <t>ネガ</t>
    </rPh>
    <phoneticPr fontId="2"/>
  </si>
  <si>
    <t>内容をご確認のうえ、被相続人様の有価証券の移管先に指定される証券口座の情報をご記入願います。</t>
    <rPh sb="0" eb="2">
      <t>ナイヨウ</t>
    </rPh>
    <rPh sb="4" eb="6">
      <t>カクニン</t>
    </rPh>
    <rPh sb="10" eb="15">
      <t>ヒソウゾクニンサマ</t>
    </rPh>
    <rPh sb="16" eb="20">
      <t>ユウカショウケン</t>
    </rPh>
    <rPh sb="21" eb="23">
      <t>イカン</t>
    </rPh>
    <rPh sb="23" eb="24">
      <t>サキ</t>
    </rPh>
    <rPh sb="24" eb="25">
      <t>オクリサキ</t>
    </rPh>
    <rPh sb="25" eb="27">
      <t>シテイ</t>
    </rPh>
    <rPh sb="30" eb="32">
      <t>ショウケン</t>
    </rPh>
    <rPh sb="32" eb="34">
      <t>コウザ</t>
    </rPh>
    <rPh sb="35" eb="37">
      <t>ジョウホウ</t>
    </rPh>
    <rPh sb="39" eb="41">
      <t>キニュウ</t>
    </rPh>
    <rPh sb="41" eb="42">
      <t>ネガ</t>
    </rPh>
    <phoneticPr fontId="2"/>
  </si>
  <si>
    <t>返信用封筒</t>
    <rPh sb="0" eb="3">
      <t>ヘンシンヨウ</t>
    </rPh>
    <rPh sb="3" eb="5">
      <t>フウトウ</t>
    </rPh>
    <phoneticPr fontId="2"/>
  </si>
  <si>
    <t>遺産分割協議書（連署用）</t>
    <rPh sb="0" eb="7">
      <t>イサンブンカツキョウギショ</t>
    </rPh>
    <rPh sb="8" eb="10">
      <t>レンショ</t>
    </rPh>
    <rPh sb="10" eb="11">
      <t>ヨウ</t>
    </rPh>
    <phoneticPr fontId="2"/>
  </si>
  <si>
    <t>ご署名ご捺印（実印）のうえ、同封の返信用レターパックにて、次の相続人様へ送付願います。</t>
    <rPh sb="14" eb="16">
      <t>ドウフウ</t>
    </rPh>
    <rPh sb="17" eb="20">
      <t>ヘンシンヨウ</t>
    </rPh>
    <rPh sb="29" eb="30">
      <t>ツギ</t>
    </rPh>
    <rPh sb="31" eb="34">
      <t>ソウゾクニン</t>
    </rPh>
    <rPh sb="34" eb="35">
      <t>サマ</t>
    </rPh>
    <rPh sb="36" eb="38">
      <t>ソウフ</t>
    </rPh>
    <rPh sb="38" eb="39">
      <t>ネガ</t>
    </rPh>
    <phoneticPr fontId="2"/>
  </si>
  <si>
    <t>返信用封筒（連署用）</t>
    <rPh sb="0" eb="3">
      <t>ヘンシンヨウ</t>
    </rPh>
    <rPh sb="3" eb="5">
      <t>フウトウ</t>
    </rPh>
    <rPh sb="6" eb="8">
      <t>レンショ</t>
    </rPh>
    <rPh sb="8" eb="9">
      <t>ヨウ</t>
    </rPh>
    <phoneticPr fontId="2"/>
  </si>
  <si>
    <t>内容をご確認のうえ、被相続人様の有価証券の移管先に指定される証券口座の情報と、21桁の加入者口座コードをご記入願います。</t>
    <rPh sb="0" eb="2">
      <t>ナイヨウ</t>
    </rPh>
    <rPh sb="4" eb="6">
      <t>カクニン</t>
    </rPh>
    <rPh sb="10" eb="15">
      <t>ヒソウゾクニンサマ</t>
    </rPh>
    <rPh sb="16" eb="20">
      <t>ユウカショウケン</t>
    </rPh>
    <rPh sb="21" eb="23">
      <t>イカン</t>
    </rPh>
    <rPh sb="23" eb="24">
      <t>サキ</t>
    </rPh>
    <rPh sb="24" eb="25">
      <t>オクリサキ</t>
    </rPh>
    <rPh sb="25" eb="27">
      <t>シテイ</t>
    </rPh>
    <rPh sb="30" eb="32">
      <t>ショウケン</t>
    </rPh>
    <rPh sb="32" eb="34">
      <t>コウザ</t>
    </rPh>
    <rPh sb="35" eb="37">
      <t>ジョウホウ</t>
    </rPh>
    <rPh sb="41" eb="42">
      <t>ケタ</t>
    </rPh>
    <rPh sb="43" eb="48">
      <t>カニュウシャコウザ</t>
    </rPh>
    <rPh sb="53" eb="55">
      <t>キニュウ</t>
    </rPh>
    <rPh sb="55" eb="56">
      <t>ネガ</t>
    </rPh>
    <phoneticPr fontId="2"/>
  </si>
  <si>
    <t>・ご依頼いただく金融機関について、既に判明している情報を入力してください</t>
    <rPh sb="2" eb="4">
      <t>イライ</t>
    </rPh>
    <rPh sb="8" eb="12">
      <t>キンユウキカン</t>
    </rPh>
    <rPh sb="17" eb="18">
      <t>スデ</t>
    </rPh>
    <rPh sb="19" eb="21">
      <t>ハンメイ</t>
    </rPh>
    <rPh sb="25" eb="27">
      <t>ジョウホウ</t>
    </rPh>
    <rPh sb="28" eb="30">
      <t>ニュウリョク</t>
    </rPh>
    <phoneticPr fontId="2"/>
  </si>
  <si>
    <t>金融機関№</t>
    <rPh sb="0" eb="2">
      <t>キンユウ</t>
    </rPh>
    <rPh sb="2" eb="4">
      <t>キカン</t>
    </rPh>
    <phoneticPr fontId="2"/>
  </si>
  <si>
    <t>行名</t>
    <rPh sb="0" eb="2">
      <t>コウメイ</t>
    </rPh>
    <phoneticPr fontId="2"/>
  </si>
  <si>
    <t>支店名</t>
    <rPh sb="0" eb="3">
      <t>シテンメイ</t>
    </rPh>
    <phoneticPr fontId="2"/>
  </si>
  <si>
    <t>種類</t>
    <phoneticPr fontId="2"/>
  </si>
  <si>
    <t>口座番号</t>
    <rPh sb="0" eb="4">
      <t>コウザバンゴウ</t>
    </rPh>
    <phoneticPr fontId="2"/>
  </si>
  <si>
    <t>⑪</t>
    <phoneticPr fontId="2"/>
  </si>
  <si>
    <t>⑫</t>
    <phoneticPr fontId="2"/>
  </si>
  <si>
    <t>⑬</t>
    <phoneticPr fontId="2"/>
  </si>
  <si>
    <t>⑭</t>
    <phoneticPr fontId="2"/>
  </si>
  <si>
    <t>⑮</t>
    <phoneticPr fontId="2"/>
  </si>
  <si>
    <t>⑯</t>
    <phoneticPr fontId="2"/>
  </si>
  <si>
    <t>⑰</t>
    <phoneticPr fontId="2"/>
  </si>
  <si>
    <t>⑱</t>
    <phoneticPr fontId="2"/>
  </si>
  <si>
    <t>⑲</t>
    <phoneticPr fontId="2"/>
  </si>
  <si>
    <t>ゆうちょ銀行</t>
    <rPh sb="4" eb="6">
      <t>ギンコウ</t>
    </rPh>
    <phoneticPr fontId="2"/>
  </si>
  <si>
    <t>みずほ銀行</t>
    <rPh sb="3" eb="5">
      <t>ギンコウ</t>
    </rPh>
    <phoneticPr fontId="2"/>
  </si>
  <si>
    <t>りそな銀行</t>
    <rPh sb="3" eb="5">
      <t>ギンコウ</t>
    </rPh>
    <phoneticPr fontId="2"/>
  </si>
  <si>
    <t>三菱UFJ銀行</t>
    <rPh sb="0" eb="2">
      <t>ミツビシ</t>
    </rPh>
    <rPh sb="5" eb="7">
      <t>ギンコウ</t>
    </rPh>
    <phoneticPr fontId="2"/>
  </si>
  <si>
    <t>三菱UFJ信託銀行</t>
    <rPh sb="0" eb="2">
      <t>ミツビシ</t>
    </rPh>
    <rPh sb="5" eb="7">
      <t>シンタク</t>
    </rPh>
    <phoneticPr fontId="2"/>
  </si>
  <si>
    <t>三井住友信託銀行</t>
    <rPh sb="0" eb="6">
      <t>ミツイスミトモシンタク</t>
    </rPh>
    <rPh sb="6" eb="8">
      <t>ギンコウ</t>
    </rPh>
    <phoneticPr fontId="2"/>
  </si>
  <si>
    <t>みずほ信託銀行</t>
    <rPh sb="3" eb="5">
      <t>シンタク</t>
    </rPh>
    <rPh sb="5" eb="7">
      <t>ギンコウ</t>
    </rPh>
    <phoneticPr fontId="2"/>
  </si>
  <si>
    <t>横浜銀行</t>
    <rPh sb="0" eb="4">
      <t>ヨコハマギンコウ</t>
    </rPh>
    <phoneticPr fontId="2"/>
  </si>
  <si>
    <t>きらぼし銀行</t>
    <rPh sb="4" eb="6">
      <t>ギンコウ</t>
    </rPh>
    <phoneticPr fontId="2"/>
  </si>
  <si>
    <t>静岡銀行</t>
    <rPh sb="0" eb="2">
      <t>シズオカ</t>
    </rPh>
    <rPh sb="2" eb="4">
      <t>ギンコウ</t>
    </rPh>
    <phoneticPr fontId="2"/>
  </si>
  <si>
    <t>新生銀行</t>
    <rPh sb="0" eb="2">
      <t>シンセイ</t>
    </rPh>
    <rPh sb="2" eb="4">
      <t>ギンコウ</t>
    </rPh>
    <phoneticPr fontId="2"/>
  </si>
  <si>
    <t>セブン銀行</t>
    <rPh sb="3" eb="5">
      <t>ギンコウ</t>
    </rPh>
    <phoneticPr fontId="2"/>
  </si>
  <si>
    <t>中国銀行</t>
    <rPh sb="0" eb="4">
      <t>チュウゴクギンコウ</t>
    </rPh>
    <phoneticPr fontId="2"/>
  </si>
  <si>
    <t>福岡銀行</t>
    <rPh sb="0" eb="2">
      <t>フクオカ</t>
    </rPh>
    <rPh sb="2" eb="4">
      <t>ギンコウ</t>
    </rPh>
    <phoneticPr fontId="2"/>
  </si>
  <si>
    <t>西日本シティ銀行</t>
    <rPh sb="0" eb="3">
      <t>ニシニホン</t>
    </rPh>
    <rPh sb="6" eb="8">
      <t>ギンコウ</t>
    </rPh>
    <phoneticPr fontId="2"/>
  </si>
  <si>
    <t>千葉銀行</t>
    <rPh sb="0" eb="4">
      <t>チバギンコウ</t>
    </rPh>
    <phoneticPr fontId="2"/>
  </si>
  <si>
    <t>大垣共立銀行</t>
    <rPh sb="0" eb="2">
      <t>オオガキ</t>
    </rPh>
    <rPh sb="2" eb="4">
      <t>キョウリツ</t>
    </rPh>
    <rPh sb="4" eb="6">
      <t>ギンコウ</t>
    </rPh>
    <phoneticPr fontId="2"/>
  </si>
  <si>
    <t>愛知銀行</t>
    <rPh sb="0" eb="2">
      <t>アイチ</t>
    </rPh>
    <rPh sb="2" eb="4">
      <t>ギンコウ</t>
    </rPh>
    <phoneticPr fontId="2"/>
  </si>
  <si>
    <t>埼玉りそな銀行</t>
    <rPh sb="0" eb="2">
      <t>サイタマ</t>
    </rPh>
    <rPh sb="5" eb="7">
      <t>ギンコウ</t>
    </rPh>
    <phoneticPr fontId="2"/>
  </si>
  <si>
    <t>京葉銀行</t>
    <rPh sb="0" eb="4">
      <t>ケイヨウギンコウ</t>
    </rPh>
    <phoneticPr fontId="2"/>
  </si>
  <si>
    <t>スルガ銀行</t>
    <rPh sb="3" eb="5">
      <t>ギンコウ</t>
    </rPh>
    <phoneticPr fontId="2"/>
  </si>
  <si>
    <t>楽天銀行</t>
    <rPh sb="0" eb="4">
      <t>ラクテンギンコウ</t>
    </rPh>
    <phoneticPr fontId="2"/>
  </si>
  <si>
    <t>三井住友銀行</t>
    <rPh sb="0" eb="4">
      <t>ミツイスミトモ</t>
    </rPh>
    <rPh sb="4" eb="6">
      <t>ギンコウ</t>
    </rPh>
    <phoneticPr fontId="2"/>
  </si>
  <si>
    <t>住信SBIネット銀行</t>
    <phoneticPr fontId="2"/>
  </si>
  <si>
    <t>SMBC日興証券</t>
    <rPh sb="4" eb="6">
      <t>ニッコウ</t>
    </rPh>
    <rPh sb="6" eb="8">
      <t>ショウケン</t>
    </rPh>
    <phoneticPr fontId="2"/>
  </si>
  <si>
    <t>大和証券</t>
    <rPh sb="0" eb="4">
      <t>ダイワショウケン</t>
    </rPh>
    <phoneticPr fontId="2"/>
  </si>
  <si>
    <t>岡三証券</t>
    <rPh sb="0" eb="2">
      <t>オカサン</t>
    </rPh>
    <rPh sb="2" eb="4">
      <t>ショウケン</t>
    </rPh>
    <phoneticPr fontId="2"/>
  </si>
  <si>
    <t>みずほ証券</t>
    <rPh sb="3" eb="5">
      <t>ショウケン</t>
    </rPh>
    <phoneticPr fontId="2"/>
  </si>
  <si>
    <t>野村証券</t>
    <rPh sb="0" eb="4">
      <t>ノムラショウケン</t>
    </rPh>
    <phoneticPr fontId="2"/>
  </si>
  <si>
    <t>丸三証券</t>
    <rPh sb="0" eb="2">
      <t>マルサン</t>
    </rPh>
    <rPh sb="2" eb="4">
      <t>ショウケン</t>
    </rPh>
    <phoneticPr fontId="2"/>
  </si>
  <si>
    <t>東海東京証券</t>
    <phoneticPr fontId="2"/>
  </si>
  <si>
    <t>SBI証券</t>
    <rPh sb="3" eb="5">
      <t>ショウケン</t>
    </rPh>
    <phoneticPr fontId="2"/>
  </si>
  <si>
    <t>楽天証券</t>
    <rPh sb="0" eb="4">
      <t>ラクテンショウケン</t>
    </rPh>
    <phoneticPr fontId="2"/>
  </si>
  <si>
    <t>モルガンスタンレー証券</t>
    <rPh sb="9" eb="11">
      <t>ショウケン</t>
    </rPh>
    <phoneticPr fontId="2"/>
  </si>
  <si>
    <t>アイザワ証券</t>
    <rPh sb="4" eb="6">
      <t>ショウケン</t>
    </rPh>
    <phoneticPr fontId="2"/>
  </si>
  <si>
    <t>いちよし証券</t>
  </si>
  <si>
    <t>立花証券</t>
    <phoneticPr fontId="2"/>
  </si>
  <si>
    <t>マネックス証券</t>
    <rPh sb="5" eb="7">
      <t>ショウケン</t>
    </rPh>
    <phoneticPr fontId="2"/>
  </si>
  <si>
    <t>朝日信用金庫</t>
    <rPh sb="0" eb="4">
      <t>アサヒシンヨウ</t>
    </rPh>
    <rPh sb="4" eb="6">
      <t>キンコ</t>
    </rPh>
    <phoneticPr fontId="2"/>
  </si>
  <si>
    <t>青梅信用金庫</t>
    <rPh sb="0" eb="2">
      <t>アオウメ</t>
    </rPh>
    <rPh sb="2" eb="6">
      <t>シンヨウキンコ</t>
    </rPh>
    <phoneticPr fontId="2"/>
  </si>
  <si>
    <t>さわやか信用金庫</t>
    <rPh sb="4" eb="8">
      <t>シンヨウキンコ</t>
    </rPh>
    <phoneticPr fontId="2"/>
  </si>
  <si>
    <t>西武信用金庫</t>
    <rPh sb="0" eb="2">
      <t>セイブ</t>
    </rPh>
    <rPh sb="2" eb="6">
      <t>シンヨウキンコ</t>
    </rPh>
    <phoneticPr fontId="2"/>
  </si>
  <si>
    <t>城南信用金庫</t>
    <rPh sb="0" eb="6">
      <t>ジョウナンシンヨウキンコ</t>
    </rPh>
    <phoneticPr fontId="2"/>
  </si>
  <si>
    <t>多摩信用金庫</t>
    <rPh sb="0" eb="6">
      <t>タマシンヨウキンコ</t>
    </rPh>
    <phoneticPr fontId="2"/>
  </si>
  <si>
    <t>城北信用金庫</t>
    <rPh sb="0" eb="6">
      <t>ジョウホクシンヨウキンコ</t>
    </rPh>
    <phoneticPr fontId="2"/>
  </si>
  <si>
    <t>京都銀行</t>
    <rPh sb="0" eb="4">
      <t>キョウトギンコウ</t>
    </rPh>
    <phoneticPr fontId="2"/>
  </si>
  <si>
    <t>関西みらい銀行</t>
    <rPh sb="0" eb="2">
      <t>カンサイ</t>
    </rPh>
    <rPh sb="5" eb="7">
      <t>ギンコウ</t>
    </rPh>
    <phoneticPr fontId="2"/>
  </si>
  <si>
    <t>京都信用金庫</t>
    <rPh sb="0" eb="6">
      <t>キョウトシンヨウキンコ</t>
    </rPh>
    <phoneticPr fontId="2"/>
  </si>
  <si>
    <t>京都中央信用金庫</t>
    <rPh sb="0" eb="8">
      <t>キョウトチュウオウシンヨウキンコ</t>
    </rPh>
    <phoneticPr fontId="2"/>
  </si>
  <si>
    <t>みなと銀行</t>
  </si>
  <si>
    <t>但馬銀行</t>
  </si>
  <si>
    <t>兵庫信用金庫</t>
  </si>
  <si>
    <t>日新信用金庫</t>
    <phoneticPr fontId="2"/>
  </si>
  <si>
    <t>瀬戸信用金庫</t>
  </si>
  <si>
    <t>群馬銀行</t>
  </si>
  <si>
    <t>ソニー銀行</t>
  </si>
  <si>
    <t>Paypay銀行</t>
  </si>
  <si>
    <t>auじぶん銀行</t>
    <phoneticPr fontId="2"/>
  </si>
  <si>
    <t>イオン銀行</t>
  </si>
  <si>
    <t>名古屋銀行</t>
  </si>
  <si>
    <t>中京銀行</t>
  </si>
  <si>
    <t>十六銀行</t>
    <phoneticPr fontId="2"/>
  </si>
  <si>
    <t>フリガナ</t>
    <phoneticPr fontId="2"/>
  </si>
  <si>
    <t>銀行名</t>
    <rPh sb="0" eb="2">
      <t>ギンコウ</t>
    </rPh>
    <rPh sb="2" eb="3">
      <t>メイ</t>
    </rPh>
    <phoneticPr fontId="2"/>
  </si>
  <si>
    <t>科目</t>
    <rPh sb="0" eb="2">
      <t>カモク</t>
    </rPh>
    <phoneticPr fontId="2"/>
  </si>
  <si>
    <t>口座番号</t>
    <rPh sb="0" eb="2">
      <t>コウザ</t>
    </rPh>
    <rPh sb="2" eb="4">
      <t>バンゴウ</t>
    </rPh>
    <phoneticPr fontId="2"/>
  </si>
  <si>
    <t>普通　・　貯蓄　・　当座</t>
    <rPh sb="0" eb="2">
      <t>フツウ</t>
    </rPh>
    <rPh sb="5" eb="7">
      <t>チョチク</t>
    </rPh>
    <rPh sb="10" eb="12">
      <t>トウザ</t>
    </rPh>
    <phoneticPr fontId="2"/>
  </si>
  <si>
    <t>支店コード</t>
    <phoneticPr fontId="2"/>
  </si>
  <si>
    <t>証券口座1</t>
    <rPh sb="0" eb="2">
      <t>ショウケン</t>
    </rPh>
    <rPh sb="2" eb="4">
      <t>コウザ</t>
    </rPh>
    <phoneticPr fontId="2"/>
  </si>
  <si>
    <t>証券口座2</t>
    <rPh sb="0" eb="2">
      <t>ショウケン</t>
    </rPh>
    <rPh sb="2" eb="4">
      <t>コウザ</t>
    </rPh>
    <phoneticPr fontId="2"/>
  </si>
  <si>
    <t>証券口座3</t>
    <rPh sb="0" eb="2">
      <t>ショウケン</t>
    </rPh>
    <rPh sb="2" eb="4">
      <t>コウザ</t>
    </rPh>
    <phoneticPr fontId="2"/>
  </si>
  <si>
    <t>証券口座4</t>
    <rPh sb="0" eb="2">
      <t>ショウケン</t>
    </rPh>
    <rPh sb="2" eb="4">
      <t>コウザ</t>
    </rPh>
    <phoneticPr fontId="2"/>
  </si>
  <si>
    <t>証券口座5</t>
    <rPh sb="0" eb="2">
      <t>ショウケン</t>
    </rPh>
    <rPh sb="2" eb="4">
      <t>コウザ</t>
    </rPh>
    <phoneticPr fontId="2"/>
  </si>
  <si>
    <t>証券口座6</t>
    <rPh sb="0" eb="2">
      <t>ショウケン</t>
    </rPh>
    <rPh sb="2" eb="4">
      <t>コウザ</t>
    </rPh>
    <phoneticPr fontId="2"/>
  </si>
  <si>
    <t>証券会社名</t>
    <rPh sb="0" eb="2">
      <t>ショウケン</t>
    </rPh>
    <rPh sb="2" eb="4">
      <t>ガイシャ</t>
    </rPh>
    <rPh sb="4" eb="5">
      <t>メイ</t>
    </rPh>
    <phoneticPr fontId="2"/>
  </si>
  <si>
    <t>証券移管先口座番号記入用紙</t>
    <rPh sb="0" eb="2">
      <t>ショウケン</t>
    </rPh>
    <rPh sb="2" eb="4">
      <t>イカン</t>
    </rPh>
    <rPh sb="4" eb="5">
      <t>サキ</t>
    </rPh>
    <rPh sb="5" eb="7">
      <t>コウザ</t>
    </rPh>
    <rPh sb="7" eb="9">
      <t>バンゴウ</t>
    </rPh>
    <rPh sb="9" eb="11">
      <t>キニュウ</t>
    </rPh>
    <rPh sb="11" eb="13">
      <t>ヨウシ</t>
    </rPh>
    <phoneticPr fontId="2"/>
  </si>
  <si>
    <t>証券移管先口座番号記入用紙（特別口座用）</t>
    <rPh sb="0" eb="2">
      <t>ショウケン</t>
    </rPh>
    <rPh sb="2" eb="4">
      <t>イカン</t>
    </rPh>
    <rPh sb="4" eb="5">
      <t>サキ</t>
    </rPh>
    <rPh sb="5" eb="7">
      <t>コウザ</t>
    </rPh>
    <rPh sb="7" eb="9">
      <t>バンゴウ</t>
    </rPh>
    <rPh sb="9" eb="11">
      <t>キニュウ</t>
    </rPh>
    <rPh sb="11" eb="13">
      <t>ヨウシ</t>
    </rPh>
    <rPh sb="14" eb="16">
      <t>トクベツ</t>
    </rPh>
    <rPh sb="16" eb="18">
      <t>コウザ</t>
    </rPh>
    <rPh sb="18" eb="19">
      <t>ヨウ</t>
    </rPh>
    <phoneticPr fontId="2"/>
  </si>
  <si>
    <t>加入者口座コード
（21桁）</t>
    <rPh sb="0" eb="5">
      <t>カニュウシャコウザ</t>
    </rPh>
    <rPh sb="12" eb="13">
      <t>ケタ</t>
    </rPh>
    <phoneticPr fontId="2"/>
  </si>
  <si>
    <t>解約金入金先口座番号記入用紙</t>
    <phoneticPr fontId="2"/>
  </si>
  <si>
    <r>
      <rPr>
        <sz val="12"/>
        <color indexed="11"/>
        <rFont val="ＭＳ Ｐゴシック"/>
        <family val="3"/>
        <charset val="128"/>
      </rPr>
      <t>編集する時の注意！</t>
    </r>
    <r>
      <rPr>
        <sz val="12"/>
        <color indexed="8"/>
        <rFont val="ＭＳ Ｐゴシック"/>
        <family val="3"/>
        <charset val="128"/>
      </rPr>
      <t xml:space="preserve">
　・列の幅を変更したり、行を追加しないでください。
</t>
    </r>
    <r>
      <rPr>
        <sz val="12"/>
        <color indexed="11"/>
        <rFont val="ＭＳ Ｐゴシック"/>
        <family val="3"/>
        <charset val="128"/>
      </rPr>
      <t>印刷する時の注意！</t>
    </r>
    <r>
      <rPr>
        <sz val="12"/>
        <color indexed="8"/>
        <rFont val="ＭＳ Ｐゴシック"/>
        <family val="3"/>
        <charset val="128"/>
      </rPr>
      <t xml:space="preserve">
　・プリンターの印刷設定より、給紙トレイを「手差し」に、用紙種類を「ラベル・厚紙」などに変更し、必ず手差しトレイから給紙してください。
印刷の向きは、印刷面下、差し込み方向矢印と逆にセットしてください。
</t>
    </r>
    <r>
      <rPr>
        <sz val="12"/>
        <color indexed="11"/>
        <rFont val="ＭＳ Ｐゴシック"/>
        <family val="3"/>
        <charset val="128"/>
      </rPr>
      <t>アレンジのポイント！</t>
    </r>
    <r>
      <rPr>
        <sz val="12"/>
        <color indexed="8"/>
        <rFont val="ＭＳ Ｐゴシック"/>
        <family val="3"/>
        <charset val="128"/>
      </rPr>
      <t xml:space="preserve">
　・文字のフォント、色、背景を自由に変えられます。
</t>
    </r>
    <rPh sb="115" eb="117">
      <t>インサツ</t>
    </rPh>
    <rPh sb="118" eb="119">
      <t>ム</t>
    </rPh>
    <rPh sb="122" eb="124">
      <t>インサツ</t>
    </rPh>
    <rPh sb="124" eb="125">
      <t>メン</t>
    </rPh>
    <rPh sb="125" eb="126">
      <t>シタ</t>
    </rPh>
    <rPh sb="127" eb="128">
      <t>サ</t>
    </rPh>
    <rPh sb="129" eb="130">
      <t>コ</t>
    </rPh>
    <rPh sb="131" eb="133">
      <t>ホウコウ</t>
    </rPh>
    <rPh sb="133" eb="135">
      <t>ヤジルシ</t>
    </rPh>
    <rPh sb="136" eb="137">
      <t>ギャク</t>
    </rPh>
    <phoneticPr fontId="11"/>
  </si>
  <si>
    <t>主任　高橋 直也　様</t>
  </si>
  <si>
    <t>□□グループ</t>
  </si>
  <si>
    <t>ピー + エスシー株式会社</t>
  </si>
  <si>
    <t>□□ビル 12F</t>
  </si>
  <si>
    <t>東京都港区虎ノ門 0-0-0</t>
  </si>
  <si>
    <t>〒000-0000</t>
  </si>
  <si>
    <t>②</t>
    <phoneticPr fontId="11"/>
  </si>
  <si>
    <t>①</t>
    <phoneticPr fontId="11"/>
  </si>
  <si>
    <t>　※書類返送にご使用ください</t>
    <phoneticPr fontId="2"/>
  </si>
  <si>
    <t>　※次の相続人様へ書類を送付する際にご使用ください</t>
    <rPh sb="2" eb="3">
      <t>ツギ</t>
    </rPh>
    <rPh sb="4" eb="8">
      <t>ソウゾクニンサマ</t>
    </rPh>
    <rPh sb="9" eb="11">
      <t>ショルイ</t>
    </rPh>
    <rPh sb="12" eb="14">
      <t>ソウフ</t>
    </rPh>
    <rPh sb="16" eb="17">
      <t>サイ</t>
    </rPh>
    <phoneticPr fontId="2"/>
  </si>
  <si>
    <t>　※司法書士による不動産名義変更の御見積書です</t>
    <phoneticPr fontId="2"/>
  </si>
  <si>
    <t>※振込手数料がかかる場合は残高より差し引かれますこと、予めご了承ください。</t>
    <rPh sb="27" eb="28">
      <t>アラカジ</t>
    </rPh>
    <rPh sb="30" eb="32">
      <t>リョウショウ</t>
    </rPh>
    <phoneticPr fontId="2"/>
  </si>
  <si>
    <t>宛先</t>
    <rPh sb="0" eb="2">
      <t>アテサキ</t>
    </rPh>
    <phoneticPr fontId="2"/>
  </si>
  <si>
    <t>宛先</t>
    <rPh sb="0" eb="2">
      <t>アテサキ</t>
    </rPh>
    <phoneticPr fontId="2"/>
  </si>
  <si>
    <t>証券口座7</t>
    <rPh sb="0" eb="2">
      <t>ショウケン</t>
    </rPh>
    <rPh sb="2" eb="4">
      <t>コウザ</t>
    </rPh>
    <phoneticPr fontId="2"/>
  </si>
  <si>
    <t>送付通数</t>
    <rPh sb="0" eb="2">
      <t>ソウフ</t>
    </rPh>
    <rPh sb="2" eb="3">
      <t>ツウ</t>
    </rPh>
    <rPh sb="3" eb="4">
      <t>スウ</t>
    </rPh>
    <phoneticPr fontId="2"/>
  </si>
  <si>
    <t>（登記用）委任状</t>
    <rPh sb="1" eb="4">
      <t>トウキヨウ</t>
    </rPh>
    <rPh sb="5" eb="8">
      <t>イニンジョウ</t>
    </rPh>
    <phoneticPr fontId="2"/>
  </si>
  <si>
    <t>（登記用）お手続きの流れ</t>
    <rPh sb="6" eb="8">
      <t>テツヅ</t>
    </rPh>
    <rPh sb="10" eb="11">
      <t>ナガ</t>
    </rPh>
    <phoneticPr fontId="2"/>
  </si>
  <si>
    <t>（登記用）登記識別情報　郵送先指示書</t>
    <rPh sb="5" eb="11">
      <t>トウキシキベツジョウホウ</t>
    </rPh>
    <rPh sb="12" eb="14">
      <t>ユウソウ</t>
    </rPh>
    <rPh sb="14" eb="15">
      <t>サキ</t>
    </rPh>
    <rPh sb="15" eb="18">
      <t>シジショ</t>
    </rPh>
    <phoneticPr fontId="2"/>
  </si>
  <si>
    <t>ご署名ご捺印（実印）と、登記識別情報（権利証）の送付先についてご記入のうえ、ご返送願います。</t>
    <rPh sb="12" eb="18">
      <t>トウキシキベツジョウホウ</t>
    </rPh>
    <rPh sb="19" eb="22">
      <t>ケンリショウ</t>
    </rPh>
    <rPh sb="24" eb="27">
      <t>ソウフサキ</t>
    </rPh>
    <rPh sb="32" eb="34">
      <t>キニュウ</t>
    </rPh>
    <phoneticPr fontId="2"/>
  </si>
  <si>
    <t>□</t>
    <phoneticPr fontId="2"/>
  </si>
  <si>
    <t>　※解約口座にゆうちょ銀行がある場合には必ずご記入ください。</t>
    <phoneticPr fontId="2"/>
  </si>
  <si>
    <t>記号－番号</t>
    <rPh sb="0" eb="2">
      <t>キゴウ</t>
    </rPh>
    <rPh sb="3" eb="5">
      <t>バンゴウ</t>
    </rPh>
    <phoneticPr fontId="2"/>
  </si>
  <si>
    <t>預金種目</t>
    <rPh sb="0" eb="2">
      <t>ヨキン</t>
    </rPh>
    <rPh sb="2" eb="4">
      <t>シュモク</t>
    </rPh>
    <phoneticPr fontId="2"/>
  </si>
  <si>
    <t>普通　・　貯蓄　</t>
    <rPh sb="0" eb="2">
      <t>フツウ</t>
    </rPh>
    <rPh sb="5" eb="7">
      <t>チョチク</t>
    </rPh>
    <phoneticPr fontId="2"/>
  </si>
  <si>
    <t>店名
（例：〇二八）</t>
    <rPh sb="0" eb="2">
      <t>テンメイ</t>
    </rPh>
    <rPh sb="4" eb="5">
      <t>レイ</t>
    </rPh>
    <rPh sb="7" eb="8">
      <t>ニ</t>
    </rPh>
    <rPh sb="8" eb="9">
      <t>ハチ</t>
    </rPh>
    <phoneticPr fontId="2"/>
  </si>
  <si>
    <t>店番
（例：028）</t>
    <rPh sb="0" eb="2">
      <t>テンバン</t>
    </rPh>
    <phoneticPr fontId="2"/>
  </si>
  <si>
    <t>　　　　　　　　　　　　　―</t>
    <phoneticPr fontId="2"/>
  </si>
  <si>
    <t>※通帳見開きページの下方に記載</t>
    <phoneticPr fontId="2"/>
  </si>
  <si>
    <t>　※ゆうちょ銀行の解約金は代表相続人のゆうちょ銀行口座にのみ送金可能です。口座を保有していない場合
　　には、お手数ではございますが、新規開設くださいますようお願いいたします。</t>
    <rPh sb="56" eb="58">
      <t>テスウ</t>
    </rPh>
    <rPh sb="80" eb="81">
      <t>ネガ</t>
    </rPh>
    <phoneticPr fontId="2"/>
  </si>
  <si>
    <t>預貯金解約に伴う入金先口座情報をご記入ください。</t>
    <rPh sb="0" eb="3">
      <t>ヨチョキン</t>
    </rPh>
    <rPh sb="3" eb="5">
      <t>カイヤク</t>
    </rPh>
    <rPh sb="6" eb="7">
      <t>トモナ</t>
    </rPh>
    <rPh sb="8" eb="11">
      <t>ニュウキンサキ</t>
    </rPh>
    <rPh sb="11" eb="13">
      <t>コウザ</t>
    </rPh>
    <rPh sb="13" eb="15">
      <t>ジョウホウ</t>
    </rPh>
    <rPh sb="17" eb="19">
      <t>キニュウ</t>
    </rPh>
    <phoneticPr fontId="2"/>
  </si>
  <si>
    <r>
      <t xml:space="preserve">口座名義
</t>
    </r>
    <r>
      <rPr>
        <sz val="9"/>
        <color theme="1"/>
        <rFont val="游ゴシック"/>
        <family val="3"/>
        <charset val="128"/>
        <scheme val="minor"/>
      </rPr>
      <t>（金融機関登録の氏名）</t>
    </r>
    <rPh sb="0" eb="2">
      <t>コウザ</t>
    </rPh>
    <rPh sb="2" eb="4">
      <t>メイギ</t>
    </rPh>
    <rPh sb="6" eb="8">
      <t>キンユウ</t>
    </rPh>
    <rPh sb="8" eb="10">
      <t>キカン</t>
    </rPh>
    <rPh sb="10" eb="12">
      <t>トウロク</t>
    </rPh>
    <rPh sb="13" eb="15">
      <t>シメイ</t>
    </rPh>
    <phoneticPr fontId="2"/>
  </si>
  <si>
    <r>
      <t>　※</t>
    </r>
    <r>
      <rPr>
        <sz val="11"/>
        <color rgb="FFFF0000"/>
        <rFont val="游ゴシック"/>
        <family val="3"/>
        <charset val="128"/>
        <scheme val="minor"/>
      </rPr>
      <t>すべての預貯金</t>
    </r>
    <r>
      <rPr>
        <sz val="11"/>
        <color theme="1"/>
        <rFont val="游ゴシック"/>
        <family val="2"/>
        <charset val="128"/>
        <scheme val="minor"/>
      </rPr>
      <t>について、上記の</t>
    </r>
    <r>
      <rPr>
        <sz val="11"/>
        <color rgb="FFFF0000"/>
        <rFont val="游ゴシック"/>
        <family val="3"/>
        <charset val="128"/>
        <scheme val="minor"/>
      </rPr>
      <t>ゆうちょ銀行への送金を希望される場合</t>
    </r>
    <r>
      <rPr>
        <sz val="11"/>
        <color theme="1"/>
        <rFont val="游ゴシック"/>
        <family val="2"/>
        <charset val="128"/>
        <scheme val="minor"/>
      </rPr>
      <t>は</t>
    </r>
    <r>
      <rPr>
        <sz val="11"/>
        <color rgb="FFFF0000"/>
        <rFont val="游ゴシック"/>
        <family val="3"/>
        <charset val="128"/>
        <scheme val="minor"/>
      </rPr>
      <t>右の□に✓</t>
    </r>
    <r>
      <rPr>
        <sz val="11"/>
        <color theme="1"/>
        <rFont val="游ゴシック"/>
        <family val="2"/>
        <charset val="128"/>
        <scheme val="minor"/>
      </rPr>
      <t>を入れ、
　　下記は空欄のままご返送願います。</t>
    </r>
    <rPh sb="6" eb="9">
      <t>ヨチョキン</t>
    </rPh>
    <rPh sb="14" eb="16">
      <t>ジョウキ</t>
    </rPh>
    <rPh sb="21" eb="23">
      <t>ギンコウ</t>
    </rPh>
    <rPh sb="25" eb="27">
      <t>ソウキン</t>
    </rPh>
    <rPh sb="28" eb="30">
      <t>キボウ</t>
    </rPh>
    <rPh sb="33" eb="35">
      <t>バアイ</t>
    </rPh>
    <rPh sb="36" eb="37">
      <t>ミギ</t>
    </rPh>
    <rPh sb="42" eb="43">
      <t>イ</t>
    </rPh>
    <rPh sb="48" eb="50">
      <t>カキ</t>
    </rPh>
    <rPh sb="51" eb="52">
      <t>ソラ</t>
    </rPh>
    <rPh sb="52" eb="53">
      <t>ラン</t>
    </rPh>
    <rPh sb="57" eb="59">
      <t>ヘンソウ</t>
    </rPh>
    <rPh sb="59" eb="60">
      <t>ネガ</t>
    </rPh>
    <phoneticPr fontId="2"/>
  </si>
  <si>
    <t>印鑑証明書　（原本）</t>
    <rPh sb="0" eb="5">
      <t>インカンショウメイショ</t>
    </rPh>
    <rPh sb="7" eb="9">
      <t>ゲンポン</t>
    </rPh>
    <phoneticPr fontId="2"/>
  </si>
  <si>
    <t>約1ヵ月以内に発行した印鑑証明書を右記通数ご返送願います。</t>
    <phoneticPr fontId="2"/>
  </si>
  <si>
    <t>返送の有無</t>
    <rPh sb="0" eb="2">
      <t>ヘンソウ</t>
    </rPh>
    <rPh sb="3" eb="5">
      <t>ウム</t>
    </rPh>
    <phoneticPr fontId="2"/>
  </si>
  <si>
    <t>〇</t>
  </si>
  <si>
    <t>〇</t>
    <phoneticPr fontId="2"/>
  </si>
  <si>
    <t>送付書類</t>
    <rPh sb="0" eb="2">
      <t>ソウフ</t>
    </rPh>
    <rPh sb="2" eb="4">
      <t>ショルイ</t>
    </rPh>
    <phoneticPr fontId="2"/>
  </si>
  <si>
    <t>⑴</t>
    <phoneticPr fontId="2"/>
  </si>
  <si>
    <t>⑵</t>
    <phoneticPr fontId="2"/>
  </si>
  <si>
    <t>⑶</t>
    <phoneticPr fontId="2"/>
  </si>
  <si>
    <t>⑷</t>
    <phoneticPr fontId="2"/>
  </si>
  <si>
    <t>⑸</t>
    <phoneticPr fontId="2"/>
  </si>
  <si>
    <t>⑹</t>
    <phoneticPr fontId="2"/>
  </si>
  <si>
    <t>⑺</t>
    <phoneticPr fontId="2"/>
  </si>
  <si>
    <t>⑻</t>
    <phoneticPr fontId="2"/>
  </si>
  <si>
    <t>解約金入金先口座番号記入用紙</t>
  </si>
  <si>
    <r>
      <t>　平素よりお世話になっております。
　上記書類をお送りいたしますので、お手数ではございますが、</t>
    </r>
    <r>
      <rPr>
        <b/>
        <u/>
        <sz val="12"/>
        <rFont val="ＭＳ 明朝"/>
        <family val="1"/>
        <charset val="128"/>
      </rPr>
      <t>送付状裏面(返送書類リスト)</t>
    </r>
    <r>
      <rPr>
        <sz val="12"/>
        <rFont val="ＭＳ 明朝"/>
        <family val="1"/>
        <charset val="128"/>
      </rPr>
      <t>をご確認いただき、ご対応の上ご返送くださいますようお願い申し上げます。
　ご不明点等ございましたら、お気軽にご連絡ください。
　業務完了まで、何卒よろしくお願い致します。</t>
    </r>
    <rPh sb="50" eb="52">
      <t>リメン</t>
    </rPh>
    <phoneticPr fontId="2"/>
  </si>
  <si>
    <t>令和　　　年　　　月 　 　日</t>
    <phoneticPr fontId="2"/>
  </si>
  <si>
    <t>遺産分割協議書（単独署名用）</t>
    <rPh sb="0" eb="7">
      <t>イサンブンカツキョウギショ</t>
    </rPh>
    <phoneticPr fontId="2"/>
  </si>
  <si>
    <t>証券口座8</t>
    <rPh sb="0" eb="2">
      <t>ショウケン</t>
    </rPh>
    <rPh sb="2" eb="4">
      <t>コウザ</t>
    </rPh>
    <phoneticPr fontId="2"/>
  </si>
  <si>
    <t>証券口座9</t>
    <rPh sb="0" eb="2">
      <t>ショウケン</t>
    </rPh>
    <rPh sb="2" eb="4">
      <t>コウザ</t>
    </rPh>
    <phoneticPr fontId="2"/>
  </si>
  <si>
    <t>証券口座10</t>
    <rPh sb="0" eb="2">
      <t>ショウケン</t>
    </rPh>
    <rPh sb="2" eb="4">
      <t>コウザ</t>
    </rPh>
    <phoneticPr fontId="2"/>
  </si>
  <si>
    <t>証券口座11</t>
    <rPh sb="0" eb="2">
      <t>ショウケン</t>
    </rPh>
    <rPh sb="2" eb="4">
      <t>コウザ</t>
    </rPh>
    <phoneticPr fontId="2"/>
  </si>
  <si>
    <t>証券口座12</t>
    <rPh sb="0" eb="2">
      <t>ショウケン</t>
    </rPh>
    <rPh sb="2" eb="4">
      <t>コウザ</t>
    </rPh>
    <phoneticPr fontId="2"/>
  </si>
  <si>
    <t>証券口座13</t>
    <rPh sb="0" eb="2">
      <t>ショウケン</t>
    </rPh>
    <rPh sb="2" eb="4">
      <t>コウザ</t>
    </rPh>
    <phoneticPr fontId="2"/>
  </si>
  <si>
    <t>証券口座14</t>
    <rPh sb="0" eb="2">
      <t>ショウケン</t>
    </rPh>
    <rPh sb="2" eb="4">
      <t>コウザ</t>
    </rPh>
    <phoneticPr fontId="2"/>
  </si>
  <si>
    <t>証券口座15</t>
    <rPh sb="0" eb="2">
      <t>ショウケン</t>
    </rPh>
    <rPh sb="2" eb="4">
      <t>コウザ</t>
    </rPh>
    <phoneticPr fontId="2"/>
  </si>
  <si>
    <t>有価証券の移管にともなう移管先口座情報をご記入ください</t>
    <rPh sb="0" eb="4">
      <t>ユウカショウケン</t>
    </rPh>
    <rPh sb="5" eb="7">
      <t>イカン</t>
    </rPh>
    <rPh sb="12" eb="14">
      <t>イカン</t>
    </rPh>
    <rPh sb="14" eb="15">
      <t>サキ</t>
    </rPh>
    <rPh sb="15" eb="17">
      <t>コウザ</t>
    </rPh>
    <rPh sb="17" eb="19">
      <t>ジョウホウ</t>
    </rPh>
    <rPh sb="21" eb="23">
      <t>キニュウ</t>
    </rPh>
    <phoneticPr fontId="2"/>
  </si>
  <si>
    <t>証券移管先口座番号記入用紙（特別口座用）</t>
    <phoneticPr fontId="2"/>
  </si>
  <si>
    <t>◆ゆうちょ銀行</t>
    <phoneticPr fontId="2"/>
  </si>
  <si>
    <t>◆その他の銀行、信用金庫等</t>
    <phoneticPr fontId="2"/>
  </si>
  <si>
    <t>【遺産分割協議成立後のスケジュール】</t>
    <phoneticPr fontId="2"/>
  </si>
  <si>
    <t>行政書士法人チェスターのお手続きが終了次第、司法書士法人チェスターへ引き継ぎます。</t>
    <phoneticPr fontId="2"/>
  </si>
  <si>
    <t>業務内容</t>
  </si>
  <si>
    <t>必要期間</t>
  </si>
  <si>
    <t>①</t>
  </si>
  <si>
    <t>預貯金口座の解約</t>
  </si>
  <si>
    <t>※１～２ヶ月</t>
  </si>
  <si>
    <t>②</t>
  </si>
  <si>
    <t>相続人様名義の証券口座への移管サポート</t>
  </si>
  <si>
    <t>③</t>
  </si>
  <si>
    <t>相続登記（不動産の名義変更）</t>
  </si>
  <si>
    <t>※金融機関数・不動産数等により異なりますので、あくまで目安となります。</t>
  </si>
  <si>
    <t>【留意事項】</t>
  </si>
  <si>
    <t>※ 1～1.5ヶ月</t>
    <phoneticPr fontId="2"/>
  </si>
  <si>
    <t>・行政書士法人チェスターにて金融機関の解約・移管のお手続きを行います（1～2ヶ月）</t>
    <phoneticPr fontId="2"/>
  </si>
  <si>
    <t>・全ての金融機関への解約・移管の申請後、必要資料を司法書士法人チェスターに引き継ぎ、司
　法書士法人チェスターより御連絡差し上げます。登記実行時に、登録免許税を含めた登記手続
　き費用を司法書士法人チェスターよりご請求させて頂きます。（1～1.5ヶ月）</t>
    <phoneticPr fontId="2"/>
  </si>
  <si>
    <t>以上</t>
    <rPh sb="0" eb="2">
      <t>イジョウ</t>
    </rPh>
    <phoneticPr fontId="2"/>
  </si>
  <si>
    <t>・全ての金融機関より、解約・移管手続きの完了通知を取得しましたら、御報告致します。行政書
　士法人チェスターにて取得しました資料一式をご返却させて頂きますと共に、実費精算分と行政書
　士の残報酬をご請求させて頂きます。</t>
    <phoneticPr fontId="2"/>
  </si>
  <si>
    <t>遺産分割協議成立後のスケジュール</t>
  </si>
  <si>
    <t>遺産分割協議成立後のスケジュール</t>
    <phoneticPr fontId="2"/>
  </si>
  <si>
    <t>送付書の注意書き</t>
    <rPh sb="0" eb="2">
      <t>ソウフ</t>
    </rPh>
    <rPh sb="2" eb="3">
      <t>ショ</t>
    </rPh>
    <rPh sb="4" eb="7">
      <t>チュウイガ</t>
    </rPh>
    <phoneticPr fontId="2"/>
  </si>
  <si>
    <t>返送書類リストの文言</t>
    <rPh sb="0" eb="2">
      <t>ヘンソウ</t>
    </rPh>
    <rPh sb="2" eb="4">
      <t>ショルイ</t>
    </rPh>
    <rPh sb="8" eb="10">
      <t>モンゴン</t>
    </rPh>
    <phoneticPr fontId="2"/>
  </si>
  <si>
    <t>送付書類名称</t>
    <rPh sb="0" eb="2">
      <t>ソウフ</t>
    </rPh>
    <rPh sb="2" eb="4">
      <t>ショルイ</t>
    </rPh>
    <rPh sb="4" eb="6">
      <t>メイショウ</t>
    </rPh>
    <phoneticPr fontId="2"/>
  </si>
  <si>
    <t>返送書類名称</t>
    <rPh sb="0" eb="2">
      <t>ヘンソウ</t>
    </rPh>
    <rPh sb="2" eb="4">
      <t>ショルイ</t>
    </rPh>
    <rPh sb="4" eb="6">
      <t>メイショウ</t>
    </rPh>
    <phoneticPr fontId="2"/>
  </si>
  <si>
    <r>
      <t>〇</t>
    </r>
    <r>
      <rPr>
        <sz val="11"/>
        <color theme="1"/>
        <rFont val="Segoe UI Symbol"/>
        <family val="2"/>
      </rPr>
      <t>✖</t>
    </r>
    <phoneticPr fontId="2"/>
  </si>
  <si>
    <t>証券会社を通さず所有されていた上場株式の移管にともなう移管先口座情報をご記入ください</t>
    <rPh sb="0" eb="2">
      <t>ショウケン</t>
    </rPh>
    <rPh sb="2" eb="4">
      <t>ガイシャ</t>
    </rPh>
    <rPh sb="5" eb="6">
      <t>トオ</t>
    </rPh>
    <rPh sb="8" eb="10">
      <t>ショユウ</t>
    </rPh>
    <rPh sb="15" eb="17">
      <t>ジョウジョウ</t>
    </rPh>
    <rPh sb="17" eb="19">
      <t>カブシキ</t>
    </rPh>
    <rPh sb="20" eb="22">
      <t>イカン</t>
    </rPh>
    <rPh sb="27" eb="29">
      <t>イカン</t>
    </rPh>
    <rPh sb="29" eb="30">
      <t>サキ</t>
    </rPh>
    <rPh sb="30" eb="32">
      <t>コウザ</t>
    </rPh>
    <rPh sb="32" eb="34">
      <t>ジョウホウ</t>
    </rPh>
    <rPh sb="36" eb="38">
      <t>キニュウ</t>
    </rPh>
    <phoneticPr fontId="2"/>
  </si>
  <si>
    <t>※相続人ご本人様に限る</t>
    <rPh sb="1" eb="4">
      <t>ソウゾクニン</t>
    </rPh>
    <rPh sb="5" eb="7">
      <t>ホンニン</t>
    </rPh>
    <rPh sb="7" eb="8">
      <t>サマ</t>
    </rPh>
    <rPh sb="9" eb="10">
      <t>カギ</t>
    </rPh>
    <phoneticPr fontId="2"/>
  </si>
  <si>
    <t>解約情報入力</t>
    <rPh sb="0" eb="2">
      <t>カイヤク</t>
    </rPh>
    <rPh sb="2" eb="4">
      <t>ジョウホウ</t>
    </rPh>
    <rPh sb="4" eb="6">
      <t>ニュウリョク</t>
    </rPh>
    <phoneticPr fontId="2"/>
  </si>
  <si>
    <t>⑦　必要な書類を必要な通数印刷してください。</t>
    <rPh sb="2" eb="4">
      <t>ヒツヨウ</t>
    </rPh>
    <rPh sb="5" eb="7">
      <t>ショルイ</t>
    </rPh>
    <rPh sb="8" eb="10">
      <t>ヒツヨウ</t>
    </rPh>
    <rPh sb="11" eb="12">
      <t>ツウ</t>
    </rPh>
    <rPh sb="12" eb="13">
      <t>スウ</t>
    </rPh>
    <rPh sb="13" eb="15">
      <t>インサツ</t>
    </rPh>
    <phoneticPr fontId="2"/>
  </si>
  <si>
    <t>操作方法</t>
    <rPh sb="0" eb="2">
      <t>ソウサ</t>
    </rPh>
    <rPh sb="2" eb="4">
      <t>ホウホウ</t>
    </rPh>
    <phoneticPr fontId="2"/>
  </si>
  <si>
    <t>①　【基本情報入力】シートに最新データを上書きしてください。（『初回送付セット基本データ』、または『戸籍申請書』のExcelからコピペ。住所等が最新情報になっているか要確認）</t>
    <rPh sb="3" eb="5">
      <t>キホン</t>
    </rPh>
    <rPh sb="5" eb="7">
      <t>ジョウホウ</t>
    </rPh>
    <rPh sb="7" eb="9">
      <t>ニュウリョク</t>
    </rPh>
    <rPh sb="14" eb="16">
      <t>サイシン</t>
    </rPh>
    <rPh sb="20" eb="22">
      <t>ウワガ</t>
    </rPh>
    <rPh sb="32" eb="34">
      <t>ショカイ</t>
    </rPh>
    <rPh sb="34" eb="36">
      <t>ソウフ</t>
    </rPh>
    <rPh sb="39" eb="41">
      <t>キホン</t>
    </rPh>
    <rPh sb="50" eb="52">
      <t>コセキ</t>
    </rPh>
    <rPh sb="52" eb="54">
      <t>シンセイ</t>
    </rPh>
    <rPh sb="54" eb="55">
      <t>ショ</t>
    </rPh>
    <rPh sb="68" eb="70">
      <t>ジュウショ</t>
    </rPh>
    <rPh sb="70" eb="71">
      <t>トウ</t>
    </rPh>
    <rPh sb="72" eb="74">
      <t>サイシン</t>
    </rPh>
    <rPh sb="74" eb="76">
      <t>ジョウホウ</t>
    </rPh>
    <rPh sb="83" eb="84">
      <t>ヨウ</t>
    </rPh>
    <rPh sb="84" eb="86">
      <t>カクニン</t>
    </rPh>
    <phoneticPr fontId="2"/>
  </si>
  <si>
    <t>②　【基本情報入力(金融機関)】シートを最新データに更新してください。（『初回送付セット基本データ』からコピペのうえ、金融機関数増減をkintoneより反映させる）</t>
    <rPh sb="3" eb="9">
      <t>キホンジョウホウニュウリョク</t>
    </rPh>
    <rPh sb="10" eb="14">
      <t>キンユウキカン</t>
    </rPh>
    <rPh sb="20" eb="22">
      <t>サイシン</t>
    </rPh>
    <rPh sb="26" eb="28">
      <t>コウシン</t>
    </rPh>
    <rPh sb="59" eb="63">
      <t>キンユウキカン</t>
    </rPh>
    <rPh sb="63" eb="64">
      <t>スウ</t>
    </rPh>
    <rPh sb="64" eb="66">
      <t>ゾウゲン</t>
    </rPh>
    <rPh sb="76" eb="78">
      <t>ハンエイ</t>
    </rPh>
    <phoneticPr fontId="2"/>
  </si>
  <si>
    <t>④　送付書類⑴~⑻（セルE16~J23）の［内容］［送付通数］［返送の有無］［返送通数］を、メモを参考に入力してください。</t>
    <rPh sb="2" eb="4">
      <t>ソウフ</t>
    </rPh>
    <rPh sb="4" eb="6">
      <t>ショルイ</t>
    </rPh>
    <rPh sb="22" eb="24">
      <t>ナイヨウ</t>
    </rPh>
    <rPh sb="26" eb="28">
      <t>ソウフ</t>
    </rPh>
    <rPh sb="28" eb="29">
      <t>ツウ</t>
    </rPh>
    <rPh sb="29" eb="30">
      <t>スウ</t>
    </rPh>
    <rPh sb="32" eb="34">
      <t>ヘンソウ</t>
    </rPh>
    <rPh sb="35" eb="37">
      <t>ウム</t>
    </rPh>
    <rPh sb="39" eb="41">
      <t>ヘンソウ</t>
    </rPh>
    <rPh sb="41" eb="42">
      <t>ツウ</t>
    </rPh>
    <rPh sb="42" eb="43">
      <t>スウ</t>
    </rPh>
    <rPh sb="49" eb="51">
      <t>サンコウ</t>
    </rPh>
    <rPh sb="52" eb="54">
      <t>ニュウリョク</t>
    </rPh>
    <phoneticPr fontId="2"/>
  </si>
  <si>
    <t>⑤　返送書類①~④（セルE24~J27）の［内容］［返送通数］を入力してください。</t>
    <rPh sb="2" eb="4">
      <t>ヘンソウ</t>
    </rPh>
    <rPh sb="4" eb="6">
      <t>ショルイ</t>
    </rPh>
    <rPh sb="32" eb="34">
      <t>ニュウリョク</t>
    </rPh>
    <phoneticPr fontId="2"/>
  </si>
  <si>
    <r>
      <t>⑥　証券口座がある場合、証券口座1~15</t>
    </r>
    <r>
      <rPr>
        <sz val="11"/>
        <color theme="1"/>
        <rFont val="游ゴシック"/>
        <family val="3"/>
        <charset val="128"/>
        <scheme val="minor"/>
      </rPr>
      <t>（セルA30~D44）</t>
    </r>
    <r>
      <rPr>
        <sz val="11"/>
        <color theme="1"/>
        <rFont val="游ゴシック"/>
        <family val="2"/>
        <charset val="128"/>
        <scheme val="minor"/>
      </rPr>
      <t>で証券会社名を選択してください。</t>
    </r>
    <rPh sb="2" eb="4">
      <t>ショウケン</t>
    </rPh>
    <rPh sb="4" eb="6">
      <t>コウザ</t>
    </rPh>
    <rPh sb="9" eb="11">
      <t>バアイ</t>
    </rPh>
    <rPh sb="12" eb="14">
      <t>ショウケン</t>
    </rPh>
    <rPh sb="14" eb="16">
      <t>コウザ</t>
    </rPh>
    <rPh sb="32" eb="34">
      <t>ショウケン</t>
    </rPh>
    <rPh sb="34" eb="36">
      <t>ガイシャ</t>
    </rPh>
    <rPh sb="36" eb="37">
      <t>メイ</t>
    </rPh>
    <rPh sb="38" eb="40">
      <t>センタク</t>
    </rPh>
    <phoneticPr fontId="2"/>
  </si>
  <si>
    <t>　　　※【証券口座】シートは証券会社数によって印刷範囲を修正</t>
    <rPh sb="14" eb="16">
      <t>ショウケン</t>
    </rPh>
    <rPh sb="16" eb="18">
      <t>カイシャ</t>
    </rPh>
    <rPh sb="18" eb="19">
      <t>スウ</t>
    </rPh>
    <phoneticPr fontId="2"/>
  </si>
  <si>
    <t>　　　※【送付先宛名シール】シートは代表相続人以外へ個別に送付する際に使用。当該シート内K列で送付先を指定し、手差し印刷</t>
    <rPh sb="26" eb="28">
      <t>コベツ</t>
    </rPh>
    <rPh sb="29" eb="31">
      <t>ソウフ</t>
    </rPh>
    <rPh sb="33" eb="34">
      <t>サイ</t>
    </rPh>
    <rPh sb="35" eb="37">
      <t>シヨウ</t>
    </rPh>
    <rPh sb="38" eb="40">
      <t>トウガイ</t>
    </rPh>
    <rPh sb="43" eb="44">
      <t>ナイ</t>
    </rPh>
    <rPh sb="45" eb="46">
      <t>レツ</t>
    </rPh>
    <rPh sb="55" eb="57">
      <t>テザ</t>
    </rPh>
    <phoneticPr fontId="2"/>
  </si>
  <si>
    <t>◆証券代行部にある未受領配当金の入金先口座番号</t>
    <rPh sb="1" eb="6">
      <t>ショウケンダイコウブ</t>
    </rPh>
    <rPh sb="9" eb="15">
      <t>ミジュリョウハイトウキン</t>
    </rPh>
    <rPh sb="16" eb="18">
      <t>ニュウキン</t>
    </rPh>
    <rPh sb="18" eb="19">
      <t>サキ</t>
    </rPh>
    <rPh sb="19" eb="21">
      <t>コウザ</t>
    </rPh>
    <rPh sb="21" eb="23">
      <t>バンゴウ</t>
    </rPh>
    <phoneticPr fontId="2"/>
  </si>
  <si>
    <t>・こちらの『基本情報入力』シートの【⒈基本情報】~【⒋被相続人・相続人　基本情報】に必要事項を入力ください</t>
    <rPh sb="6" eb="10">
      <t>キホンジョウホウ</t>
    </rPh>
    <rPh sb="10" eb="12">
      <t>ニュウリョク</t>
    </rPh>
    <rPh sb="19" eb="21">
      <t>キホン</t>
    </rPh>
    <rPh sb="21" eb="23">
      <t>ジョウホウ</t>
    </rPh>
    <rPh sb="27" eb="28">
      <t>ヒ</t>
    </rPh>
    <rPh sb="28" eb="30">
      <t>ソウゾク</t>
    </rPh>
    <rPh sb="30" eb="31">
      <t>ニン</t>
    </rPh>
    <rPh sb="32" eb="35">
      <t>ソウゾクニン</t>
    </rPh>
    <rPh sb="36" eb="38">
      <t>キホン</t>
    </rPh>
    <rPh sb="38" eb="40">
      <t>ジョウホウ</t>
    </rPh>
    <rPh sb="42" eb="44">
      <t>ヒツヨウ</t>
    </rPh>
    <rPh sb="44" eb="46">
      <t>ジコウ</t>
    </rPh>
    <rPh sb="47" eb="49">
      <t>ニュウリョク</t>
    </rPh>
    <phoneticPr fontId="2"/>
  </si>
  <si>
    <t>・戸籍担当へ戸籍収集等を依頼される場合、『戸籍収集引継書』の14行より下、指示部分は直接入力ください</t>
    <rPh sb="1" eb="3">
      <t>コセキ</t>
    </rPh>
    <rPh sb="3" eb="5">
      <t>タントウ</t>
    </rPh>
    <rPh sb="10" eb="11">
      <t>トウ</t>
    </rPh>
    <rPh sb="12" eb="14">
      <t>イライ</t>
    </rPh>
    <rPh sb="17" eb="19">
      <t>バアイ</t>
    </rPh>
    <rPh sb="21" eb="23">
      <t>コセキ</t>
    </rPh>
    <rPh sb="23" eb="25">
      <t>シュウシュウ</t>
    </rPh>
    <rPh sb="25" eb="26">
      <t>ヒ</t>
    </rPh>
    <rPh sb="26" eb="27">
      <t>ツ</t>
    </rPh>
    <rPh sb="27" eb="28">
      <t>ショ</t>
    </rPh>
    <rPh sb="32" eb="33">
      <t>ギョウ</t>
    </rPh>
    <rPh sb="35" eb="36">
      <t>シタ</t>
    </rPh>
    <rPh sb="37" eb="39">
      <t>シジ</t>
    </rPh>
    <rPh sb="39" eb="41">
      <t>ブブン</t>
    </rPh>
    <rPh sb="42" eb="44">
      <t>チョクセツ</t>
    </rPh>
    <rPh sb="44" eb="46">
      <t>ニュウリョク</t>
    </rPh>
    <phoneticPr fontId="2"/>
  </si>
  <si>
    <t>・『送付状』『返送書類リスト』は印刷後、分けずにホチキス止めして、まとめて送付ください</t>
    <rPh sb="2" eb="4">
      <t>ソウフ</t>
    </rPh>
    <rPh sb="4" eb="5">
      <t>ジョウ</t>
    </rPh>
    <rPh sb="7" eb="9">
      <t>ヘンソウ</t>
    </rPh>
    <rPh sb="9" eb="11">
      <t>ショルイ</t>
    </rPh>
    <rPh sb="16" eb="18">
      <t>インサツ</t>
    </rPh>
    <rPh sb="18" eb="19">
      <t>ゴ</t>
    </rPh>
    <rPh sb="20" eb="21">
      <t>ワ</t>
    </rPh>
    <rPh sb="28" eb="29">
      <t>ド</t>
    </rPh>
    <rPh sb="37" eb="39">
      <t>ソウフ</t>
    </rPh>
    <phoneticPr fontId="2"/>
  </si>
  <si>
    <t>※黄色セルは必ず入力ください</t>
    <rPh sb="1" eb="3">
      <t>キイロ</t>
    </rPh>
    <rPh sb="6" eb="7">
      <t>カナラ</t>
    </rPh>
    <rPh sb="8" eb="10">
      <t>ニュウリョク</t>
    </rPh>
    <phoneticPr fontId="2"/>
  </si>
  <si>
    <t>相続手続き業務に関する確認事項</t>
  </si>
  <si>
    <t>口座の凍結についての確認書</t>
  </si>
  <si>
    <t>⒌戸籍担当</t>
    <rPh sb="1" eb="3">
      <t>コセキ</t>
    </rPh>
    <rPh sb="3" eb="5">
      <t>タントウ</t>
    </rPh>
    <phoneticPr fontId="2"/>
  </si>
  <si>
    <t>⒍金融機関　基本情報</t>
    <rPh sb="1" eb="5">
      <t>キンユウキカン</t>
    </rPh>
    <rPh sb="6" eb="10">
      <t>キホンジョウホウ</t>
    </rPh>
    <phoneticPr fontId="2"/>
  </si>
  <si>
    <t>ご署名のうえ、1通をお手元に保管いただき、残り1通をご返送願います。</t>
    <phoneticPr fontId="2"/>
  </si>
  <si>
    <t>布施祐太郎　</t>
    <phoneticPr fontId="2"/>
  </si>
  <si>
    <t xml:space="preserve"> </t>
    <phoneticPr fontId="2"/>
  </si>
  <si>
    <t>宮城明香　</t>
    <rPh sb="0" eb="2">
      <t>ミヤギ</t>
    </rPh>
    <rPh sb="2" eb="4">
      <t>メイカ</t>
    </rPh>
    <phoneticPr fontId="2"/>
  </si>
  <si>
    <t>丸山慧子　</t>
    <phoneticPr fontId="2"/>
  </si>
  <si>
    <t>清水</t>
    <rPh sb="0" eb="2">
      <t>シミズ</t>
    </rPh>
    <phoneticPr fontId="2"/>
  </si>
  <si>
    <t>050-6883-2132</t>
    <phoneticPr fontId="2"/>
  </si>
  <si>
    <t>布施</t>
    <phoneticPr fontId="2"/>
  </si>
  <si>
    <t>丸山</t>
    <phoneticPr fontId="2"/>
  </si>
  <si>
    <t>森中</t>
    <rPh sb="0" eb="2">
      <t>モリナカ</t>
    </rPh>
    <phoneticPr fontId="2"/>
  </si>
  <si>
    <t>③　【解約情報入力】シートの（セルA15~D16）［発送日］と［宛先］を入力してください。</t>
    <rPh sb="3" eb="5">
      <t>カイヤク</t>
    </rPh>
    <rPh sb="5" eb="7">
      <t>ジョウホウ</t>
    </rPh>
    <rPh sb="7" eb="9">
      <t>ニュウリョク</t>
    </rPh>
    <rPh sb="26" eb="28">
      <t>ハッソウ</t>
    </rPh>
    <rPh sb="28" eb="29">
      <t>ヒ</t>
    </rPh>
    <rPh sb="32" eb="34">
      <t>アテサキ</t>
    </rPh>
    <rPh sb="36" eb="38">
      <t>ニュウリョク</t>
    </rPh>
    <phoneticPr fontId="2"/>
  </si>
  <si>
    <t>上記被相続人の法定相続情報一覧図の作成、保管、交付再交付の申し出及び受領に関する一切の件
尚、上記法定相続情報の利用目的は、登記申請及び預金払戻手続きであり、必要な写しの通数は10通</t>
    <rPh sb="17" eb="19">
      <t>サクセイ</t>
    </rPh>
    <rPh sb="34" eb="36">
      <t>ジュリョウ</t>
    </rPh>
    <phoneticPr fontId="2"/>
  </si>
  <si>
    <t>不動産・金融機関情報一覧</t>
    <rPh sb="0" eb="3">
      <t>フドウサン</t>
    </rPh>
    <phoneticPr fontId="2"/>
  </si>
  <si>
    <t>⒍不動産　基本情報</t>
    <rPh sb="1" eb="4">
      <t>フドウサン</t>
    </rPh>
    <rPh sb="5" eb="9">
      <t>キホンジョウホウ</t>
    </rPh>
    <phoneticPr fontId="2"/>
  </si>
  <si>
    <t>・ご依頼いただく不動産の市区町村を入力してください。</t>
    <rPh sb="2" eb="4">
      <t>イライ</t>
    </rPh>
    <rPh sb="8" eb="11">
      <t>フドウサン</t>
    </rPh>
    <rPh sb="12" eb="14">
      <t>シク</t>
    </rPh>
    <rPh sb="14" eb="16">
      <t>チョウソン</t>
    </rPh>
    <rPh sb="17" eb="19">
      <t>ニュウリョク</t>
    </rPh>
    <phoneticPr fontId="2"/>
  </si>
  <si>
    <t>市区町村名</t>
    <rPh sb="0" eb="2">
      <t>シク</t>
    </rPh>
    <rPh sb="2" eb="4">
      <t>チョウソン</t>
    </rPh>
    <rPh sb="4" eb="5">
      <t>メイ</t>
    </rPh>
    <phoneticPr fontId="2"/>
  </si>
  <si>
    <t>銀行</t>
    <rPh sb="0" eb="2">
      <t>ギンコウ</t>
    </rPh>
    <phoneticPr fontId="2"/>
  </si>
  <si>
    <t>森中絵梨佳　</t>
    <phoneticPr fontId="2"/>
  </si>
  <si>
    <t>東三条佑圭梨　</t>
    <phoneticPr fontId="2"/>
  </si>
  <si>
    <t>小森和正　</t>
    <phoneticPr fontId="2"/>
  </si>
  <si>
    <t>東三条</t>
    <phoneticPr fontId="2"/>
  </si>
  <si>
    <t>小森</t>
    <phoneticPr fontId="2"/>
  </si>
  <si>
    <r>
      <t>　　　※【送付状・返送書類リスト】シートは両面(長辺綴じ)。</t>
    </r>
    <r>
      <rPr>
        <b/>
        <sz val="11"/>
        <color rgb="FFFF0000"/>
        <rFont val="游ゴシック"/>
        <family val="3"/>
        <charset val="128"/>
        <scheme val="minor"/>
      </rPr>
      <t>送付状はPDF保存推奨。（あとから何を送ったから確認できるよう）</t>
    </r>
    <rPh sb="30" eb="32">
      <t>ソウフ</t>
    </rPh>
    <rPh sb="32" eb="33">
      <t>ジョウ</t>
    </rPh>
    <rPh sb="37" eb="39">
      <t>ホゾン</t>
    </rPh>
    <rPh sb="39" eb="41">
      <t>スイショウ</t>
    </rPh>
    <rPh sb="47" eb="48">
      <t>ナン</t>
    </rPh>
    <rPh sb="49" eb="50">
      <t>オク</t>
    </rPh>
    <rPh sb="54" eb="56">
      <t>カクニン</t>
    </rPh>
    <phoneticPr fontId="2"/>
  </si>
  <si>
    <t>出生日～お亡くなりになられた日までの、戸籍一式（原本）をご準備いただき、ご返送願います。</t>
    <rPh sb="21" eb="23">
      <t>イッシキ</t>
    </rPh>
    <phoneticPr fontId="2"/>
  </si>
  <si>
    <t>被相続人様の除住民票（原本）</t>
    <rPh sb="0" eb="1">
      <t>ヒ</t>
    </rPh>
    <rPh sb="1" eb="3">
      <t>ソウゾク</t>
    </rPh>
    <rPh sb="3" eb="4">
      <t>ニン</t>
    </rPh>
    <phoneticPr fontId="2"/>
  </si>
  <si>
    <t>最新の戸籍(原本)または抄本（原本）、及び住民票（原本）をご準備いただき、ご返送願います。</t>
    <phoneticPr fontId="2"/>
  </si>
  <si>
    <t>相続手続き業務に関する確認事項</t>
    <phoneticPr fontId="2"/>
  </si>
  <si>
    <t>各項目をご確認いただきチェックボックスにレ点を入れてください。全ての項目にレ点を入れ終えましたら、下部の署名欄にご署名のうえ、1通をお手元に保管いただき、残り1通をご返送願います。</t>
    <rPh sb="0" eb="3">
      <t>カクコウモク</t>
    </rPh>
    <rPh sb="5" eb="7">
      <t>カクニン</t>
    </rPh>
    <rPh sb="23" eb="24">
      <t>イ</t>
    </rPh>
    <rPh sb="31" eb="32">
      <t>スベ</t>
    </rPh>
    <rPh sb="34" eb="36">
      <t>コウモク</t>
    </rPh>
    <rPh sb="38" eb="39">
      <t>テン</t>
    </rPh>
    <rPh sb="40" eb="41">
      <t>イ</t>
    </rPh>
    <rPh sb="42" eb="43">
      <t>オ</t>
    </rPh>
    <rPh sb="49" eb="51">
      <t>カブ</t>
    </rPh>
    <rPh sb="54" eb="55">
      <t>ラン</t>
    </rPh>
    <rPh sb="57" eb="59">
      <t>ショメイ</t>
    </rPh>
    <phoneticPr fontId="2"/>
  </si>
  <si>
    <t>◆ゆうちょ銀行を指定される場合</t>
    <rPh sb="8" eb="10">
      <t>シテイ</t>
    </rPh>
    <rPh sb="13" eb="15">
      <t>バアイ</t>
    </rPh>
    <phoneticPr fontId="2"/>
  </si>
  <si>
    <t>◆ゆうちょ銀行以外を指定される場合</t>
    <rPh sb="5" eb="7">
      <t>ギンコウ</t>
    </rPh>
    <rPh sb="7" eb="9">
      <t>イガイ</t>
    </rPh>
    <rPh sb="10" eb="12">
      <t>シテイ</t>
    </rPh>
    <rPh sb="15" eb="17">
      <t>バアイ</t>
    </rPh>
    <phoneticPr fontId="2"/>
  </si>
  <si>
    <t>記号－番号
（例：12345-6789123）</t>
    <rPh sb="0" eb="2">
      <t>キゴウ</t>
    </rPh>
    <rPh sb="3" eb="5">
      <t>バンゴウ</t>
    </rPh>
    <phoneticPr fontId="2"/>
  </si>
  <si>
    <t>口座番号
（例：1234567）</t>
    <rPh sb="0" eb="2">
      <t>コウザ</t>
    </rPh>
    <rPh sb="2" eb="4">
      <t>バンゴウ</t>
    </rPh>
    <phoneticPr fontId="2"/>
  </si>
  <si>
    <t>　※ゆうちょ銀行を他行解約金の送金先に指定する場合は、『記号-番号（例：12345-6789123）』のほか、通帳見
　　開き下部記載の『支店名（例：〇二八店）』や『口座番号（例：1234567）』等も必要です。お手数ですが、下
　　記項目全てご記入願います。</t>
    <rPh sb="9" eb="11">
      <t>タコウ</t>
    </rPh>
    <rPh sb="11" eb="13">
      <t>カイヤク</t>
    </rPh>
    <rPh sb="13" eb="14">
      <t>キン</t>
    </rPh>
    <rPh sb="15" eb="17">
      <t>ソウキン</t>
    </rPh>
    <rPh sb="17" eb="18">
      <t>サキ</t>
    </rPh>
    <rPh sb="19" eb="21">
      <t>シテイ</t>
    </rPh>
    <rPh sb="23" eb="25">
      <t>バアイ</t>
    </rPh>
    <rPh sb="28" eb="30">
      <t>キゴウ</t>
    </rPh>
    <rPh sb="31" eb="33">
      <t>バンゴウ</t>
    </rPh>
    <rPh sb="34" eb="35">
      <t>レイ</t>
    </rPh>
    <rPh sb="55" eb="57">
      <t>ツウチョウ</t>
    </rPh>
    <rPh sb="63" eb="65">
      <t>カブ</t>
    </rPh>
    <rPh sb="65" eb="67">
      <t>キサイ</t>
    </rPh>
    <rPh sb="69" eb="71">
      <t>シテン</t>
    </rPh>
    <rPh sb="71" eb="72">
      <t>メイ</t>
    </rPh>
    <rPh sb="73" eb="74">
      <t>レイ</t>
    </rPh>
    <rPh sb="78" eb="79">
      <t>テン</t>
    </rPh>
    <rPh sb="83" eb="85">
      <t>コウザ</t>
    </rPh>
    <rPh sb="85" eb="87">
      <t>バンゴウ</t>
    </rPh>
    <rPh sb="88" eb="89">
      <t>レイ</t>
    </rPh>
    <rPh sb="99" eb="100">
      <t>ナド</t>
    </rPh>
    <rPh sb="101" eb="103">
      <t>ヒツヨウ</t>
    </rPh>
    <rPh sb="107" eb="109">
      <t>テスウ</t>
    </rPh>
    <rPh sb="118" eb="120">
      <t>コウモク</t>
    </rPh>
    <rPh sb="120" eb="121">
      <t>スベ</t>
    </rPh>
    <rPh sb="123" eb="125">
      <t>キニュウ</t>
    </rPh>
    <rPh sb="125" eb="126">
      <t>ネガ</t>
    </rPh>
    <phoneticPr fontId="2"/>
  </si>
  <si>
    <t>・ヒアリングシートを参考に【⒍金融機関　基本情報】と【⒎不動産　基本情報】に必要事項を入力ください</t>
    <rPh sb="10" eb="12">
      <t>サンコウ</t>
    </rPh>
    <rPh sb="28" eb="31">
      <t>フドウサン</t>
    </rPh>
    <rPh sb="32" eb="34">
      <t>キホン</t>
    </rPh>
    <rPh sb="34" eb="36">
      <t>ジョウホウ</t>
    </rPh>
    <phoneticPr fontId="2"/>
  </si>
  <si>
    <t>米田</t>
    <phoneticPr fontId="2"/>
  </si>
  <si>
    <t>菊川</t>
    <phoneticPr fontId="2"/>
  </si>
  <si>
    <t>宇野</t>
    <phoneticPr fontId="2"/>
  </si>
  <si>
    <t>050-6883-4521</t>
    <phoneticPr fontId="2"/>
  </si>
  <si>
    <t>栗原大輔　</t>
    <phoneticPr fontId="2"/>
  </si>
  <si>
    <t>石井祐貴　</t>
    <phoneticPr fontId="2"/>
  </si>
  <si>
    <t>柴田彩香　</t>
    <phoneticPr fontId="2"/>
  </si>
  <si>
    <t>米田由香　</t>
    <phoneticPr fontId="2"/>
  </si>
  <si>
    <t>菊川智恵子　</t>
    <phoneticPr fontId="2"/>
  </si>
  <si>
    <t>南</t>
    <phoneticPr fontId="2"/>
  </si>
  <si>
    <t>土田</t>
    <phoneticPr fontId="2"/>
  </si>
  <si>
    <t>宇野綾華　</t>
    <phoneticPr fontId="2"/>
  </si>
  <si>
    <t>南香南江　</t>
    <phoneticPr fontId="2"/>
  </si>
  <si>
    <t>土田修平　</t>
    <phoneticPr fontId="2"/>
  </si>
  <si>
    <t>050-6861-2158</t>
    <phoneticPr fontId="2"/>
  </si>
  <si>
    <t>星野</t>
    <phoneticPr fontId="2"/>
  </si>
  <si>
    <t>亀岡</t>
    <phoneticPr fontId="2"/>
  </si>
  <si>
    <t>亀岡菜摘　</t>
    <phoneticPr fontId="2"/>
  </si>
  <si>
    <t>清水茜作</t>
    <rPh sb="0" eb="4">
      <t>シミズアカネサク</t>
    </rPh>
    <phoneticPr fontId="2"/>
  </si>
  <si>
    <t>050-6861-0106</t>
    <phoneticPr fontId="2"/>
  </si>
  <si>
    <t>三宅</t>
    <phoneticPr fontId="2"/>
  </si>
  <si>
    <t>梅田</t>
    <phoneticPr fontId="2"/>
  </si>
  <si>
    <t>050-6875-3090</t>
    <phoneticPr fontId="2"/>
  </si>
  <si>
    <t>白金</t>
    <rPh sb="0" eb="2">
      <t>シロガネ</t>
    </rPh>
    <phoneticPr fontId="2"/>
  </si>
  <si>
    <t>森町</t>
    <phoneticPr fontId="2"/>
  </si>
  <si>
    <t>050-6864-7034</t>
    <phoneticPr fontId="2"/>
  </si>
  <si>
    <t>鳥山</t>
    <phoneticPr fontId="2"/>
  </si>
  <si>
    <t>050-6864-7043</t>
    <phoneticPr fontId="2"/>
  </si>
  <si>
    <t>芦田</t>
    <phoneticPr fontId="2"/>
  </si>
  <si>
    <t>050-6864-7047</t>
    <phoneticPr fontId="2"/>
  </si>
  <si>
    <t>安西</t>
    <phoneticPr fontId="2"/>
  </si>
  <si>
    <t>050-6875-3094</t>
    <phoneticPr fontId="2"/>
  </si>
  <si>
    <t>松本拓弥　</t>
    <phoneticPr fontId="2"/>
  </si>
  <si>
    <t>森町翼　</t>
    <phoneticPr fontId="2"/>
  </si>
  <si>
    <t>鳥山剛史　</t>
    <phoneticPr fontId="2"/>
  </si>
  <si>
    <t>星野里紗　</t>
    <rPh sb="2" eb="4">
      <t>リサ</t>
    </rPh>
    <phoneticPr fontId="2"/>
  </si>
  <si>
    <t>白金大翔</t>
    <phoneticPr fontId="2"/>
  </si>
  <si>
    <t>　三宅真莉奈</t>
    <phoneticPr fontId="2"/>
  </si>
  <si>
    <t>　梅田奈央</t>
    <phoneticPr fontId="2"/>
  </si>
  <si>
    <t>　芦田昭子</t>
    <phoneticPr fontId="2"/>
  </si>
  <si>
    <t>神奈川県横浜市神奈川区鶴屋町2-12-5</t>
    <phoneticPr fontId="2"/>
  </si>
  <si>
    <t>050-6864-7048</t>
    <phoneticPr fontId="2"/>
  </si>
  <si>
    <t>宮持</t>
    <phoneticPr fontId="2"/>
  </si>
  <si>
    <t>　安西伽奈美　</t>
    <phoneticPr fontId="2"/>
  </si>
  <si>
    <t>宮持玲那　</t>
    <phoneticPr fontId="2"/>
  </si>
  <si>
    <t>050-6860-4176</t>
    <phoneticPr fontId="2"/>
  </si>
  <si>
    <t xml:space="preserve"> 050-6883-0482</t>
    <phoneticPr fontId="2"/>
  </si>
  <si>
    <t>050-6875-3064</t>
    <phoneticPr fontId="2"/>
  </si>
  <si>
    <t>050-6875-3067</t>
    <phoneticPr fontId="2"/>
  </si>
  <si>
    <t>中島</t>
    <phoneticPr fontId="2"/>
  </si>
  <si>
    <t>050-6861-3328</t>
    <phoneticPr fontId="2"/>
  </si>
  <si>
    <t>中島絵里　</t>
    <phoneticPr fontId="2"/>
  </si>
  <si>
    <t>050-6883-6132</t>
    <phoneticPr fontId="2"/>
  </si>
  <si>
    <t>進藤</t>
    <phoneticPr fontId="2"/>
  </si>
  <si>
    <t>司馬</t>
    <phoneticPr fontId="2"/>
  </si>
  <si>
    <t>小島</t>
    <phoneticPr fontId="2"/>
  </si>
  <si>
    <t>050-6861-3349</t>
    <phoneticPr fontId="2"/>
  </si>
  <si>
    <t>福岡</t>
    <phoneticPr fontId="2"/>
  </si>
  <si>
    <t>050-6875-3087</t>
    <phoneticPr fontId="2"/>
  </si>
  <si>
    <t>小島文子　</t>
    <phoneticPr fontId="2"/>
  </si>
  <si>
    <t>福岡なつみ　</t>
    <phoneticPr fontId="2"/>
  </si>
  <si>
    <t>進藤莉花　</t>
    <phoneticPr fontId="2"/>
  </si>
  <si>
    <t>050-6875-3114</t>
    <phoneticPr fontId="2"/>
  </si>
  <si>
    <t>050-6875-3115</t>
    <phoneticPr fontId="2"/>
  </si>
  <si>
    <t>050-6875-3109</t>
    <phoneticPr fontId="2"/>
  </si>
  <si>
    <t>050-6875-3117</t>
    <phoneticPr fontId="2"/>
  </si>
  <si>
    <t>050-6875-3120</t>
    <phoneticPr fontId="2"/>
  </si>
  <si>
    <t>050-6875-3110</t>
    <phoneticPr fontId="2"/>
  </si>
  <si>
    <t>050-6875-3121</t>
    <phoneticPr fontId="2"/>
  </si>
  <si>
    <t>050-6875-3123</t>
    <phoneticPr fontId="2"/>
  </si>
  <si>
    <t>050-6875-3134</t>
    <phoneticPr fontId="2"/>
  </si>
  <si>
    <t>050-6875-3138</t>
    <phoneticPr fontId="2"/>
  </si>
  <si>
    <t>トレゾ横浜8階</t>
    <phoneticPr fontId="2"/>
  </si>
  <si>
    <t>辻</t>
    <phoneticPr fontId="2"/>
  </si>
  <si>
    <t>050-6875-3195</t>
    <phoneticPr fontId="2"/>
  </si>
  <si>
    <t>植田</t>
    <phoneticPr fontId="2"/>
  </si>
  <si>
    <t>050-6875-3203</t>
    <phoneticPr fontId="2"/>
  </si>
  <si>
    <t>辻充代　</t>
    <phoneticPr fontId="2"/>
  </si>
  <si>
    <t>植田愛望　</t>
    <phoneticPr fontId="2"/>
  </si>
  <si>
    <t>司馬里美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</si>
</sst>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ggge&quot;年&quot;m&quot;月&quot;d&quot;日&quot;;@" x16r2:formatCode16="[$-ja-JP-x-gannen]ggge&quot;年&quot;m&quot;月&quot;d&quot;日&quot;;@"/>
    <numFmt numFmtId="177" formatCode="&quot;〒&quot;@"/>
  </numFmts>
  <fonts count="87">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メイリオ"/>
      <family val="3"/>
      <charset val="128"/>
    </font>
    <font>
      <b/>
      <sz val="11"/>
      <color theme="1"/>
      <name val="メイリオ"/>
      <family val="3"/>
      <charset val="128"/>
    </font>
    <font>
      <b/>
      <sz val="11"/>
      <color theme="0"/>
      <name val="メイリオ"/>
      <family val="3"/>
      <charset val="128"/>
    </font>
    <font>
      <sz val="11"/>
      <color theme="1"/>
      <name val="Meiryo UI"/>
      <family val="3"/>
      <charset val="128"/>
    </font>
    <font>
      <b/>
      <sz val="18"/>
      <color theme="1"/>
      <name val="メイリオ"/>
      <family val="3"/>
      <charset val="128"/>
    </font>
    <font>
      <sz val="11"/>
      <name val="ＭＳ 明朝"/>
      <family val="1"/>
      <charset val="128"/>
    </font>
    <font>
      <u/>
      <sz val="24"/>
      <name val="ＭＳ 明朝"/>
      <family val="1"/>
      <charset val="128"/>
    </font>
    <font>
      <sz val="6"/>
      <name val="ＭＳ Ｐゴシック"/>
      <family val="3"/>
      <charset val="128"/>
    </font>
    <font>
      <sz val="12"/>
      <name val="ＭＳ 明朝"/>
      <family val="1"/>
      <charset val="128"/>
    </font>
    <font>
      <sz val="16"/>
      <name val="ＭＳ 明朝"/>
      <family val="1"/>
      <charset val="128"/>
    </font>
    <font>
      <sz val="11"/>
      <color theme="1"/>
      <name val="ＭＳ 明朝"/>
      <family val="1"/>
      <charset val="128"/>
    </font>
    <font>
      <sz val="14"/>
      <name val="ＭＳ 明朝"/>
      <family val="1"/>
      <charset val="128"/>
    </font>
    <font>
      <sz val="6"/>
      <name val="游ゴシック"/>
      <family val="3"/>
      <charset val="128"/>
      <scheme val="minor"/>
    </font>
    <font>
      <sz val="12"/>
      <color theme="1"/>
      <name val="ＭＳ 明朝"/>
      <family val="1"/>
      <charset val="128"/>
    </font>
    <font>
      <sz val="11"/>
      <color theme="1"/>
      <name val="游ゴシック"/>
      <family val="3"/>
      <charset val="128"/>
      <scheme val="minor"/>
    </font>
    <font>
      <sz val="18"/>
      <color theme="1"/>
      <name val="ＭＳ 明朝"/>
      <family val="1"/>
      <charset val="128"/>
    </font>
    <font>
      <b/>
      <sz val="11"/>
      <color theme="1"/>
      <name val="ＭＳ 明朝"/>
      <family val="1"/>
      <charset val="128"/>
    </font>
    <font>
      <sz val="16"/>
      <color theme="1"/>
      <name val="ＭＳ 明朝"/>
      <family val="1"/>
      <charset val="128"/>
    </font>
    <font>
      <sz val="20"/>
      <color theme="1"/>
      <name val="ＭＳ 明朝"/>
      <family val="1"/>
      <charset val="128"/>
    </font>
    <font>
      <b/>
      <sz val="20"/>
      <color theme="1"/>
      <name val="ＭＳ 明朝"/>
      <family val="1"/>
      <charset val="128"/>
    </font>
    <font>
      <b/>
      <sz val="14"/>
      <color theme="1"/>
      <name val="ＭＳ 明朝"/>
      <family val="1"/>
      <charset val="128"/>
    </font>
    <font>
      <sz val="10.5"/>
      <color theme="1"/>
      <name val="ＭＳ 明朝"/>
      <family val="1"/>
      <charset val="128"/>
    </font>
    <font>
      <sz val="12"/>
      <color theme="1"/>
      <name val="游ゴシック"/>
      <family val="2"/>
      <charset val="128"/>
      <scheme val="minor"/>
    </font>
    <font>
      <sz val="14"/>
      <color theme="1"/>
      <name val="ＭＳ 明朝"/>
      <family val="1"/>
      <charset val="128"/>
    </font>
    <font>
      <sz val="11"/>
      <color rgb="FFFF0000"/>
      <name val="游ゴシック"/>
      <family val="2"/>
      <charset val="128"/>
      <scheme val="minor"/>
    </font>
    <font>
      <b/>
      <sz val="6"/>
      <color theme="0"/>
      <name val="メイリオ"/>
      <family val="3"/>
      <charset val="128"/>
    </font>
    <font>
      <sz val="6"/>
      <color theme="1"/>
      <name val="メイリオ"/>
      <family val="3"/>
      <charset val="128"/>
    </font>
    <font>
      <sz val="6"/>
      <color rgb="FF051B31"/>
      <name val="メイリオ"/>
      <family val="3"/>
      <charset val="128"/>
    </font>
    <font>
      <sz val="6"/>
      <color theme="1"/>
      <name val="游ゴシック"/>
      <family val="2"/>
      <charset val="128"/>
      <scheme val="minor"/>
    </font>
    <font>
      <sz val="6"/>
      <color theme="1"/>
      <name val="Meiryo UI"/>
      <family val="3"/>
      <charset val="128"/>
    </font>
    <font>
      <sz val="11"/>
      <color theme="0"/>
      <name val="ＭＳ 明朝"/>
      <family val="1"/>
      <charset val="128"/>
    </font>
    <font>
      <sz val="10"/>
      <color theme="1"/>
      <name val="ＭＳ 明朝"/>
      <family val="1"/>
      <charset val="128"/>
    </font>
    <font>
      <sz val="10"/>
      <color theme="1"/>
      <name val="游ゴシック"/>
      <family val="2"/>
      <charset val="128"/>
      <scheme val="minor"/>
    </font>
    <font>
      <sz val="11"/>
      <name val="游ゴシック"/>
      <family val="2"/>
      <charset val="128"/>
      <scheme val="minor"/>
    </font>
    <font>
      <sz val="14"/>
      <color theme="0"/>
      <name val="ＭＳ 明朝"/>
      <family val="1"/>
      <charset val="128"/>
    </font>
    <font>
      <sz val="11"/>
      <color theme="1"/>
      <name val="游ゴシック"/>
      <family val="2"/>
      <scheme val="minor"/>
    </font>
    <font>
      <b/>
      <sz val="26"/>
      <color theme="1"/>
      <name val="ＭＳ 明朝"/>
      <family val="1"/>
      <charset val="128"/>
    </font>
    <font>
      <b/>
      <sz val="6"/>
      <color theme="1"/>
      <name val="メイリオ"/>
      <family val="3"/>
      <charset val="128"/>
    </font>
    <font>
      <b/>
      <sz val="8"/>
      <color theme="1"/>
      <name val="メイリオ"/>
      <family val="3"/>
      <charset val="128"/>
    </font>
    <font>
      <b/>
      <sz val="11"/>
      <color theme="3" tint="0.749992370372631"/>
      <name val="メイリオ"/>
      <family val="3"/>
      <charset val="128"/>
    </font>
    <font>
      <sz val="28"/>
      <color theme="1"/>
      <name val="ＭＳ 明朝"/>
      <family val="1"/>
      <charset val="128"/>
    </font>
    <font>
      <sz val="6"/>
      <name val="ＭＳ 明朝"/>
      <family val="1"/>
      <charset val="128"/>
    </font>
    <font>
      <sz val="6"/>
      <color theme="0"/>
      <name val="ＭＳ 明朝"/>
      <family val="1"/>
      <charset val="128"/>
    </font>
    <font>
      <b/>
      <sz val="11"/>
      <color rgb="FFFF0000"/>
      <name val="游ゴシック"/>
      <family val="3"/>
      <charset val="128"/>
      <scheme val="minor"/>
    </font>
    <font>
      <b/>
      <sz val="24"/>
      <color theme="1"/>
      <name val="ＭＳ 明朝"/>
      <family val="1"/>
      <charset val="128"/>
    </font>
    <font>
      <b/>
      <sz val="12"/>
      <color theme="1"/>
      <name val="ＭＳ 明朝"/>
      <family val="1"/>
      <charset val="128"/>
    </font>
    <font>
      <b/>
      <sz val="18"/>
      <color theme="1"/>
      <name val="ＭＳ 明朝"/>
      <family val="1"/>
      <charset val="128"/>
    </font>
    <font>
      <sz val="9"/>
      <color theme="1"/>
      <name val="游ゴシック"/>
      <family val="3"/>
      <charset val="128"/>
      <scheme val="minor"/>
    </font>
    <font>
      <sz val="9.5"/>
      <color theme="1"/>
      <name val="游ゴシック"/>
      <family val="2"/>
      <charset val="128"/>
      <scheme val="minor"/>
    </font>
    <font>
      <sz val="16"/>
      <color theme="1"/>
      <name val="游ゴシック"/>
      <family val="2"/>
      <charset val="128"/>
      <scheme val="minor"/>
    </font>
    <font>
      <sz val="10"/>
      <color theme="2" tint="-0.499984740745262"/>
      <name val="游ゴシック"/>
      <family val="2"/>
      <charset val="128"/>
      <scheme val="minor"/>
    </font>
    <font>
      <b/>
      <sz val="16"/>
      <color theme="1"/>
      <name val="游ゴシック"/>
      <family val="3"/>
      <charset val="128"/>
      <scheme val="minor"/>
    </font>
    <font>
      <sz val="10.5"/>
      <name val="游ゴシック"/>
      <family val="2"/>
      <charset val="128"/>
      <scheme val="minor"/>
    </font>
    <font>
      <b/>
      <sz val="18"/>
      <color theme="1"/>
      <name val="游ゴシック"/>
      <family val="3"/>
      <charset val="128"/>
      <scheme val="minor"/>
    </font>
    <font>
      <sz val="11"/>
      <color rgb="FFC00000"/>
      <name val="游ゴシック"/>
      <family val="2"/>
      <charset val="128"/>
      <scheme val="minor"/>
    </font>
    <font>
      <sz val="10"/>
      <color indexed="8"/>
      <name val="ＭＳ ゴシック"/>
      <family val="3"/>
    </font>
    <font>
      <sz val="12"/>
      <color indexed="8"/>
      <name val="ＭＳ ゴシック"/>
      <family val="3"/>
    </font>
    <font>
      <b/>
      <sz val="16"/>
      <color indexed="8"/>
      <name val="ＭＳ ゴシック"/>
      <family val="3"/>
    </font>
    <font>
      <sz val="12"/>
      <color indexed="8"/>
      <name val="ＭＳ Ｐゴシック"/>
      <family val="3"/>
      <charset val="128"/>
    </font>
    <font>
      <sz val="12"/>
      <color indexed="11"/>
      <name val="ＭＳ Ｐゴシック"/>
      <family val="3"/>
      <charset val="128"/>
    </font>
    <font>
      <sz val="28"/>
      <color indexed="8"/>
      <name val="ＭＳ Ｐゴシック"/>
      <family val="3"/>
    </font>
    <font>
      <sz val="10"/>
      <name val="ＭＳ ゴシック"/>
      <family val="3"/>
    </font>
    <font>
      <sz val="10"/>
      <name val="ＭＳ ゴシック"/>
      <family val="3"/>
      <charset val="128"/>
    </font>
    <font>
      <b/>
      <sz val="12"/>
      <color theme="1"/>
      <name val="游ゴシック"/>
      <family val="3"/>
      <charset val="128"/>
      <scheme val="minor"/>
    </font>
    <font>
      <b/>
      <sz val="20"/>
      <color theme="1"/>
      <name val="游ゴシック"/>
      <family val="3"/>
      <charset val="128"/>
      <scheme val="minor"/>
    </font>
    <font>
      <sz val="11"/>
      <color rgb="FFFF0000"/>
      <name val="游ゴシック"/>
      <family val="3"/>
      <charset val="128"/>
      <scheme val="minor"/>
    </font>
    <font>
      <b/>
      <u/>
      <sz val="12"/>
      <name val="ＭＳ 明朝"/>
      <family val="1"/>
      <charset val="128"/>
    </font>
    <font>
      <sz val="9"/>
      <color indexed="81"/>
      <name val="MS P ゴシック"/>
      <family val="3"/>
      <charset val="128"/>
    </font>
    <font>
      <sz val="12"/>
      <color theme="1"/>
      <name val="Meiryo UI"/>
      <family val="3"/>
      <charset val="128"/>
    </font>
    <font>
      <sz val="14"/>
      <color theme="1"/>
      <name val="Meiryo UI"/>
      <family val="3"/>
      <charset val="128"/>
    </font>
    <font>
      <sz val="18"/>
      <color theme="1"/>
      <name val="Meiryo UI"/>
      <family val="3"/>
      <charset val="128"/>
    </font>
    <font>
      <sz val="20"/>
      <color theme="1"/>
      <name val="Meiryo UI"/>
      <family val="3"/>
      <charset val="128"/>
    </font>
    <font>
      <sz val="11"/>
      <color theme="1"/>
      <name val="Segoe UI Symbol"/>
      <family val="2"/>
    </font>
    <font>
      <sz val="11"/>
      <color theme="2" tint="-0.499984740745262"/>
      <name val="游ゴシック"/>
      <family val="2"/>
      <charset val="128"/>
      <scheme val="minor"/>
    </font>
    <font>
      <sz val="11"/>
      <color theme="2" tint="-0.499984740745262"/>
      <name val="游ゴシック"/>
      <family val="3"/>
      <charset val="128"/>
      <scheme val="minor"/>
    </font>
    <font>
      <u/>
      <sz val="12"/>
      <color indexed="81"/>
      <name val="Meiryo UI"/>
      <family val="3"/>
      <charset val="128"/>
    </font>
    <font>
      <sz val="12"/>
      <color indexed="81"/>
      <name val="Meiryo UI"/>
      <family val="3"/>
      <charset val="128"/>
    </font>
    <font>
      <sz val="9"/>
      <color theme="1"/>
      <name val="游ゴシック"/>
      <family val="2"/>
      <charset val="128"/>
      <scheme val="minor"/>
    </font>
    <font>
      <sz val="9"/>
      <color theme="1"/>
      <name val="メイリオ"/>
      <family val="3"/>
      <charset val="128"/>
    </font>
    <font>
      <sz val="6"/>
      <color theme="0"/>
      <name val="Meiryo UI"/>
      <family val="3"/>
      <charset val="128"/>
    </font>
    <font>
      <sz val="6"/>
      <color theme="1"/>
      <name val="游ゴシック"/>
      <family val="3"/>
      <charset val="128"/>
      <scheme val="minor"/>
    </font>
    <font>
      <sz val="6"/>
      <color rgb="FF333333"/>
      <name val="游ゴシック"/>
      <family val="3"/>
      <charset val="128"/>
      <scheme val="minor"/>
    </font>
    <font>
      <sz val="8"/>
      <color theme="1"/>
      <name val="ＭＳ 明朝"/>
      <family val="1"/>
      <charset val="128"/>
    </font>
  </fonts>
  <fills count="14">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4"/>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0"/>
        <bgColor indexed="64"/>
      </patternFill>
    </fill>
    <fill>
      <patternFill patternType="solid">
        <fgColor theme="1" tint="0.499984740745262"/>
        <bgColor theme="1"/>
      </patternFill>
    </fill>
    <fill>
      <patternFill patternType="solid">
        <fgColor theme="1" tint="0.14999847407452621"/>
        <bgColor theme="1"/>
      </patternFill>
    </fill>
    <fill>
      <patternFill patternType="solid">
        <fgColor theme="0" tint="-0.499984740745262"/>
        <bgColor indexed="64"/>
      </patternFill>
    </fill>
    <fill>
      <patternFill patternType="solid">
        <fgColor theme="2" tint="-0.249977111117893"/>
        <bgColor indexed="64"/>
      </patternFill>
    </fill>
    <fill>
      <patternFill patternType="solid">
        <fgColor theme="1"/>
        <bgColor theme="1"/>
      </patternFill>
    </fill>
    <fill>
      <patternFill patternType="solid">
        <fgColor theme="0" tint="-0.14999847407452621"/>
        <bgColor theme="0" tint="-0.14999847407452621"/>
      </patternFill>
    </fill>
  </fills>
  <borders count="6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diagonalDown="1">
      <left style="hair">
        <color indexed="64"/>
      </left>
      <right style="hair">
        <color indexed="64"/>
      </right>
      <top style="thin">
        <color indexed="64"/>
      </top>
      <bottom style="thin">
        <color indexed="64"/>
      </bottom>
      <diagonal style="hair">
        <color indexed="64"/>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style="hair">
        <color theme="0" tint="-0.499984740745262"/>
      </right>
      <top style="thin">
        <color indexed="64"/>
      </top>
      <bottom style="thin">
        <color indexed="64"/>
      </bottom>
      <diagonal/>
    </border>
    <border>
      <left style="hair">
        <color theme="0" tint="-0.499984740745262"/>
      </left>
      <right style="hair">
        <color theme="0" tint="-0.499984740745262"/>
      </right>
      <top style="thin">
        <color indexed="64"/>
      </top>
      <bottom style="thin">
        <color indexed="64"/>
      </bottom>
      <diagonal/>
    </border>
    <border>
      <left style="hair">
        <color theme="0" tint="-0.499984740745262"/>
      </left>
      <right style="thin">
        <color indexed="64"/>
      </right>
      <top style="thin">
        <color indexed="64"/>
      </top>
      <bottom style="thin">
        <color indexed="64"/>
      </bottom>
      <diagonal/>
    </border>
    <border>
      <left style="thin">
        <color indexed="10"/>
      </left>
      <right/>
      <top/>
      <bottom/>
      <diagonal/>
    </border>
    <border>
      <left style="thin">
        <color indexed="10"/>
      </left>
      <right/>
      <top style="thin">
        <color indexed="10"/>
      </top>
      <bottom/>
      <diagonal/>
    </border>
    <border>
      <left/>
      <right style="thin">
        <color indexed="10"/>
      </right>
      <top style="thin">
        <color indexed="10"/>
      </top>
      <bottom/>
      <diagonal/>
    </border>
    <border>
      <left style="thin">
        <color indexed="10"/>
      </left>
      <right/>
      <top/>
      <bottom style="thin">
        <color indexed="10"/>
      </bottom>
      <diagonal/>
    </border>
    <border>
      <left/>
      <right style="thin">
        <color indexed="10"/>
      </right>
      <top/>
      <bottom style="thin">
        <color indexed="10"/>
      </bottom>
      <diagonal/>
    </border>
    <border>
      <left/>
      <right style="medium">
        <color indexed="8"/>
      </right>
      <top/>
      <bottom style="medium">
        <color indexed="8"/>
      </bottom>
      <diagonal/>
    </border>
    <border>
      <left/>
      <right/>
      <top/>
      <bottom style="medium">
        <color indexed="8"/>
      </bottom>
      <diagonal/>
    </border>
    <border>
      <left style="medium">
        <color indexed="8"/>
      </left>
      <right/>
      <top/>
      <bottom style="medium">
        <color indexed="8"/>
      </bottom>
      <diagonal/>
    </border>
    <border>
      <left/>
      <right style="medium">
        <color indexed="8"/>
      </right>
      <top/>
      <bottom/>
      <diagonal/>
    </border>
    <border>
      <left style="medium">
        <color indexed="8"/>
      </left>
      <right/>
      <top/>
      <bottom/>
      <diagonal/>
    </border>
    <border>
      <left/>
      <right style="medium">
        <color indexed="8"/>
      </right>
      <top style="medium">
        <color indexed="8"/>
      </top>
      <bottom/>
      <diagonal/>
    </border>
    <border>
      <left/>
      <right/>
      <top style="medium">
        <color indexed="8"/>
      </top>
      <bottom/>
      <diagonal/>
    </border>
    <border>
      <left style="medium">
        <color indexed="8"/>
      </left>
      <right/>
      <top style="medium">
        <color indexed="8"/>
      </top>
      <bottom/>
      <diagonal/>
    </border>
    <border>
      <left/>
      <right/>
      <top style="thin">
        <color indexed="10"/>
      </top>
      <bottom/>
      <diagonal/>
    </border>
    <border>
      <left/>
      <right/>
      <top/>
      <bottom style="thin">
        <color indexed="10"/>
      </bottom>
      <diagonal/>
    </border>
    <border>
      <left/>
      <right style="medium">
        <color indexed="11"/>
      </right>
      <top/>
      <bottom style="medium">
        <color indexed="11"/>
      </bottom>
      <diagonal/>
    </border>
    <border>
      <left/>
      <right/>
      <top/>
      <bottom style="medium">
        <color indexed="11"/>
      </bottom>
      <diagonal/>
    </border>
    <border>
      <left style="medium">
        <color indexed="11"/>
      </left>
      <right/>
      <top/>
      <bottom style="medium">
        <color indexed="11"/>
      </bottom>
      <diagonal/>
    </border>
    <border>
      <left/>
      <right style="medium">
        <color indexed="11"/>
      </right>
      <top/>
      <bottom/>
      <diagonal/>
    </border>
    <border>
      <left style="medium">
        <color indexed="11"/>
      </left>
      <right/>
      <top/>
      <bottom/>
      <diagonal/>
    </border>
    <border>
      <left/>
      <right style="medium">
        <color indexed="11"/>
      </right>
      <top style="medium">
        <color indexed="11"/>
      </top>
      <bottom/>
      <diagonal/>
    </border>
    <border>
      <left/>
      <right/>
      <top style="medium">
        <color indexed="11"/>
      </top>
      <bottom/>
      <diagonal/>
    </border>
    <border>
      <left style="medium">
        <color indexed="11"/>
      </left>
      <right/>
      <top style="medium">
        <color indexed="11"/>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hair">
        <color indexed="64"/>
      </right>
      <top/>
      <bottom style="thin">
        <color indexed="64"/>
      </bottom>
      <diagonal/>
    </border>
    <border diagonalDown="1">
      <left style="hair">
        <color indexed="64"/>
      </left>
      <right style="hair">
        <color indexed="64"/>
      </right>
      <top/>
      <bottom style="thin">
        <color indexed="64"/>
      </bottom>
      <diagonal style="hair">
        <color indexed="64"/>
      </diagonal>
    </border>
    <border>
      <left style="hair">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style="thin">
        <color indexed="64"/>
      </bottom>
      <diagonal/>
    </border>
    <border>
      <left style="thin">
        <color auto="1"/>
      </left>
      <right style="thin">
        <color auto="1"/>
      </right>
      <top/>
      <bottom/>
      <diagonal/>
    </border>
    <border>
      <left style="thin">
        <color indexed="64"/>
      </left>
      <right style="hair">
        <color indexed="64"/>
      </right>
      <top style="thin">
        <color indexed="64"/>
      </top>
      <bottom style="medium">
        <color indexed="64"/>
      </bottom>
      <diagonal/>
    </border>
    <border>
      <left/>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theme="0" tint="-0.499984740745262"/>
      </left>
      <right style="thin">
        <color theme="0" tint="-0.499984740745262"/>
      </right>
      <top style="thin">
        <color indexed="64"/>
      </top>
      <bottom style="thin">
        <color indexed="64"/>
      </bottom>
      <diagonal/>
    </border>
    <border>
      <left/>
      <right style="hair">
        <color theme="0" tint="-0.499984740745262"/>
      </right>
      <top style="thin">
        <color indexed="64"/>
      </top>
      <bottom style="thin">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0" fontId="39" fillId="0" borderId="0"/>
    <xf numFmtId="0" fontId="18" fillId="0" borderId="0">
      <alignment vertical="center"/>
    </xf>
    <xf numFmtId="0" fontId="18" fillId="0" borderId="0">
      <alignment vertical="center"/>
    </xf>
  </cellStyleXfs>
  <cellXfs count="403">
    <xf numFmtId="0" fontId="0" fillId="0" borderId="0" xfId="0">
      <alignment vertical="center"/>
    </xf>
    <xf numFmtId="0" fontId="4" fillId="0" borderId="0" xfId="0" applyFont="1">
      <alignment vertical="center"/>
    </xf>
    <xf numFmtId="0" fontId="6" fillId="2" borderId="1" xfId="0" applyFont="1" applyFill="1" applyBorder="1" applyAlignment="1">
      <alignment horizontal="righ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2" fillId="0" borderId="0" xfId="0" applyFont="1">
      <alignment vertical="center"/>
    </xf>
    <xf numFmtId="0" fontId="9" fillId="0" borderId="0" xfId="0" applyFont="1" applyAlignment="1">
      <alignment horizontal="right" vertical="center"/>
    </xf>
    <xf numFmtId="0" fontId="12" fillId="0" borderId="11" xfId="0" applyFont="1" applyBorder="1" applyAlignment="1">
      <alignment horizontal="center" vertical="center"/>
    </xf>
    <xf numFmtId="0" fontId="12" fillId="0" borderId="9" xfId="0" applyFont="1" applyBorder="1">
      <alignment vertical="center"/>
    </xf>
    <xf numFmtId="0" fontId="12" fillId="0" borderId="10" xfId="0" applyFont="1" applyBorder="1">
      <alignment vertical="center"/>
    </xf>
    <xf numFmtId="0" fontId="12" fillId="0" borderId="8" xfId="0" applyFont="1" applyBorder="1">
      <alignment vertical="center"/>
    </xf>
    <xf numFmtId="0" fontId="12" fillId="0" borderId="2" xfId="0" applyFont="1" applyBorder="1">
      <alignment vertical="center"/>
    </xf>
    <xf numFmtId="0" fontId="0" fillId="0" borderId="0" xfId="0" applyAlignment="1">
      <alignment vertical="center" wrapText="1"/>
    </xf>
    <xf numFmtId="0" fontId="14" fillId="0" borderId="0" xfId="0" applyFont="1">
      <alignment vertical="center"/>
    </xf>
    <xf numFmtId="0" fontId="13" fillId="0" borderId="0" xfId="0" applyFont="1" applyAlignment="1"/>
    <xf numFmtId="0" fontId="14" fillId="0" borderId="0" xfId="0" applyFont="1" applyAlignment="1">
      <alignment horizontal="center" vertical="center"/>
    </xf>
    <xf numFmtId="177" fontId="9" fillId="0" borderId="0" xfId="0" applyNumberFormat="1" applyFont="1" applyAlignment="1">
      <alignment horizontal="right" vertical="center"/>
    </xf>
    <xf numFmtId="0" fontId="14" fillId="0" borderId="0" xfId="0" applyFont="1" applyAlignment="1">
      <alignment horizontal="right"/>
    </xf>
    <xf numFmtId="0" fontId="14" fillId="0" borderId="0" xfId="0" applyFont="1" applyAlignment="1"/>
    <xf numFmtId="0" fontId="14" fillId="0" borderId="0" xfId="0" applyFont="1" applyAlignment="1">
      <alignment vertical="top"/>
    </xf>
    <xf numFmtId="0" fontId="17" fillId="0" borderId="0" xfId="0" applyFont="1">
      <alignment vertical="center"/>
    </xf>
    <xf numFmtId="0" fontId="24" fillId="5" borderId="1" xfId="0" applyFont="1" applyFill="1" applyBorder="1" applyAlignment="1">
      <alignment horizontal="center" vertical="center"/>
    </xf>
    <xf numFmtId="0" fontId="17" fillId="0" borderId="0" xfId="0" applyFont="1" applyAlignment="1">
      <alignment horizontal="left" vertical="center"/>
    </xf>
    <xf numFmtId="0" fontId="14" fillId="0" borderId="0" xfId="0" applyFont="1" applyAlignment="1">
      <alignment horizontal="center" vertical="top"/>
    </xf>
    <xf numFmtId="0" fontId="25" fillId="0" borderId="0" xfId="0" applyFont="1" applyAlignment="1">
      <alignment horizontal="left" vertical="center"/>
    </xf>
    <xf numFmtId="0" fontId="17" fillId="0" borderId="2" xfId="0" applyFont="1" applyBorder="1" applyAlignment="1">
      <alignment horizontal="center" vertical="center" wrapText="1"/>
    </xf>
    <xf numFmtId="0" fontId="26" fillId="0" borderId="0" xfId="0" applyFont="1">
      <alignment vertical="center"/>
    </xf>
    <xf numFmtId="0" fontId="17" fillId="0" borderId="0" xfId="0" applyFont="1" applyAlignment="1">
      <alignment vertical="top"/>
    </xf>
    <xf numFmtId="0" fontId="26" fillId="0" borderId="2" xfId="0" applyFont="1" applyBorder="1">
      <alignment vertical="center"/>
    </xf>
    <xf numFmtId="0" fontId="17" fillId="0" borderId="2" xfId="0" applyFont="1" applyBorder="1">
      <alignment vertical="center"/>
    </xf>
    <xf numFmtId="0" fontId="4" fillId="0" borderId="0" xfId="0" applyFont="1" applyAlignment="1">
      <alignment vertical="center" shrinkToFit="1"/>
    </xf>
    <xf numFmtId="0" fontId="20" fillId="0" borderId="0" xfId="0" applyFont="1" applyAlignment="1"/>
    <xf numFmtId="0" fontId="0" fillId="0" borderId="0" xfId="0" applyAlignment="1">
      <alignment vertical="top"/>
    </xf>
    <xf numFmtId="0" fontId="6" fillId="2" borderId="1" xfId="0" applyFont="1" applyFill="1" applyBorder="1" applyAlignment="1">
      <alignment horizontal="right" vertical="center" shrinkToFit="1"/>
    </xf>
    <xf numFmtId="0" fontId="27" fillId="0" borderId="2" xfId="0" applyFont="1" applyBorder="1" applyAlignment="1">
      <alignment horizontal="center" vertical="center"/>
    </xf>
    <xf numFmtId="0" fontId="27" fillId="0" borderId="0" xfId="0" applyFont="1" applyAlignment="1"/>
    <xf numFmtId="0" fontId="27" fillId="0" borderId="14" xfId="0" applyFont="1" applyBorder="1" applyAlignment="1">
      <alignment horizontal="center"/>
    </xf>
    <xf numFmtId="0" fontId="27" fillId="0" borderId="14" xfId="0" applyFont="1" applyBorder="1" applyAlignment="1">
      <alignment horizontal="center" wrapText="1"/>
    </xf>
    <xf numFmtId="0" fontId="27" fillId="0" borderId="14" xfId="0" applyFont="1" applyBorder="1" applyAlignment="1">
      <alignment horizontal="justify" wrapText="1"/>
    </xf>
    <xf numFmtId="0" fontId="27" fillId="0" borderId="14" xfId="0" applyFont="1" applyBorder="1" applyAlignment="1"/>
    <xf numFmtId="0" fontId="14" fillId="0" borderId="0" xfId="0" applyFont="1" applyAlignment="1">
      <alignment wrapText="1"/>
    </xf>
    <xf numFmtId="0" fontId="27" fillId="0" borderId="0" xfId="0" applyFont="1" applyAlignment="1">
      <alignment wrapText="1"/>
    </xf>
    <xf numFmtId="0" fontId="14" fillId="0" borderId="0" xfId="0" applyFont="1" applyAlignment="1">
      <alignment vertical="center" wrapText="1"/>
    </xf>
    <xf numFmtId="0" fontId="27" fillId="0" borderId="1" xfId="0" applyFont="1" applyBorder="1" applyAlignment="1">
      <alignment horizontal="center" vertical="center" wrapText="1"/>
    </xf>
    <xf numFmtId="0" fontId="27" fillId="0" borderId="1" xfId="0" applyFont="1" applyBorder="1" applyAlignment="1">
      <alignment horizontal="center" vertical="center" wrapText="1" shrinkToFit="1"/>
    </xf>
    <xf numFmtId="0" fontId="21" fillId="0" borderId="2" xfId="0" applyFont="1" applyBorder="1" applyAlignment="1">
      <alignment horizontal="left"/>
    </xf>
    <xf numFmtId="0" fontId="21" fillId="0" borderId="14" xfId="0" applyFont="1" applyBorder="1" applyAlignment="1">
      <alignment horizontal="left"/>
    </xf>
    <xf numFmtId="0" fontId="23" fillId="0" borderId="0" xfId="0" applyFont="1" applyAlignment="1">
      <alignment horizontal="center" vertical="center"/>
    </xf>
    <xf numFmtId="0" fontId="4" fillId="0" borderId="0" xfId="0" applyFont="1" applyAlignment="1">
      <alignment horizontal="center" vertical="center"/>
    </xf>
    <xf numFmtId="0" fontId="29" fillId="2" borderId="1" xfId="0" applyFont="1" applyFill="1" applyBorder="1" applyAlignment="1">
      <alignment horizontal="center" vertical="center"/>
    </xf>
    <xf numFmtId="0" fontId="29" fillId="4" borderId="1" xfId="0" applyFont="1" applyFill="1" applyBorder="1" applyAlignment="1">
      <alignment horizontal="center" vertical="center"/>
    </xf>
    <xf numFmtId="0" fontId="30" fillId="0" borderId="1" xfId="0" applyFont="1" applyBorder="1" applyAlignment="1">
      <alignment horizontal="center" vertical="center"/>
    </xf>
    <xf numFmtId="38" fontId="30" fillId="0" borderId="1" xfId="1" applyFont="1" applyBorder="1" applyAlignment="1">
      <alignment horizontal="center" vertical="center"/>
    </xf>
    <xf numFmtId="0" fontId="30" fillId="0" borderId="1" xfId="0" applyFont="1" applyBorder="1">
      <alignment vertical="center"/>
    </xf>
    <xf numFmtId="0" fontId="30" fillId="0" borderId="1" xfId="0" applyFont="1" applyBorder="1" applyAlignment="1">
      <alignment vertical="center" wrapText="1"/>
    </xf>
    <xf numFmtId="0" fontId="31" fillId="0" borderId="1" xfId="0" applyFont="1" applyBorder="1">
      <alignment vertical="center"/>
    </xf>
    <xf numFmtId="0" fontId="32" fillId="0" borderId="1" xfId="0" applyFont="1" applyBorder="1">
      <alignment vertical="center"/>
    </xf>
    <xf numFmtId="0" fontId="30" fillId="0" borderId="1" xfId="0" applyFont="1" applyBorder="1" applyAlignment="1">
      <alignment horizontal="center" vertical="center" wrapText="1"/>
    </xf>
    <xf numFmtId="0" fontId="4" fillId="0" borderId="0" xfId="0" applyFont="1" applyAlignment="1">
      <alignment horizontal="left"/>
    </xf>
    <xf numFmtId="0" fontId="4" fillId="0" borderId="0" xfId="0" applyFont="1" applyAlignment="1">
      <alignment shrinkToFit="1"/>
    </xf>
    <xf numFmtId="0" fontId="33" fillId="5" borderId="1" xfId="0" applyFont="1" applyFill="1" applyBorder="1" applyAlignment="1">
      <alignment horizontal="center" vertical="center"/>
    </xf>
    <xf numFmtId="0" fontId="33" fillId="0" borderId="1" xfId="0" applyFont="1" applyBorder="1" applyAlignment="1">
      <alignment horizontal="center" vertical="center" wrapText="1" shrinkToFit="1"/>
    </xf>
    <xf numFmtId="0" fontId="33" fillId="0" borderId="1" xfId="0" applyFont="1" applyBorder="1" applyAlignment="1">
      <alignment horizontal="justify" vertical="top" wrapText="1"/>
    </xf>
    <xf numFmtId="0" fontId="33" fillId="0" borderId="1" xfId="0" applyFont="1" applyBorder="1" applyAlignment="1">
      <alignment horizontal="center" vertical="center" wrapText="1"/>
    </xf>
    <xf numFmtId="0" fontId="33" fillId="0" borderId="1" xfId="0" applyFont="1" applyBorder="1">
      <alignment vertical="center"/>
    </xf>
    <xf numFmtId="0" fontId="28" fillId="0" borderId="0" xfId="0" applyFont="1" applyAlignment="1">
      <alignment vertical="center" shrinkToFit="1"/>
    </xf>
    <xf numFmtId="0" fontId="0" fillId="0" borderId="0" xfId="0" applyAlignment="1">
      <alignment vertical="center" shrinkToFit="1"/>
    </xf>
    <xf numFmtId="0" fontId="33" fillId="0" borderId="1" xfId="0" applyFont="1" applyBorder="1" applyAlignment="1">
      <alignment vertical="center" wrapText="1"/>
    </xf>
    <xf numFmtId="0" fontId="34" fillId="0" borderId="0" xfId="0" applyFont="1" applyAlignment="1"/>
    <xf numFmtId="0" fontId="19" fillId="0" borderId="0" xfId="0" applyFont="1">
      <alignment vertical="center"/>
    </xf>
    <xf numFmtId="0" fontId="36" fillId="0" borderId="0" xfId="0" applyFont="1">
      <alignment vertical="center"/>
    </xf>
    <xf numFmtId="0" fontId="5" fillId="0" borderId="0" xfId="0" applyFont="1" applyAlignment="1">
      <alignment horizontal="left"/>
    </xf>
    <xf numFmtId="0" fontId="5" fillId="0" borderId="0" xfId="0" applyFont="1">
      <alignment vertical="center"/>
    </xf>
    <xf numFmtId="0" fontId="21" fillId="0" borderId="1" xfId="0" applyFont="1" applyBorder="1" applyAlignment="1">
      <alignment horizontal="center" vertical="center"/>
    </xf>
    <xf numFmtId="0" fontId="37" fillId="0" borderId="0" xfId="0" applyFont="1">
      <alignment vertical="center"/>
    </xf>
    <xf numFmtId="0" fontId="13" fillId="0" borderId="1" xfId="0" applyFont="1" applyBorder="1" applyAlignment="1">
      <alignment horizontal="center" vertical="center"/>
    </xf>
    <xf numFmtId="0" fontId="34" fillId="0" borderId="0" xfId="0" applyFont="1" applyAlignment="1">
      <alignment wrapText="1"/>
    </xf>
    <xf numFmtId="0" fontId="38" fillId="0" borderId="0" xfId="0" applyFont="1" applyAlignment="1"/>
    <xf numFmtId="0" fontId="5" fillId="0" borderId="0" xfId="0" applyFont="1" applyAlignment="1">
      <alignment shrinkToFit="1"/>
    </xf>
    <xf numFmtId="0" fontId="5" fillId="0" borderId="6" xfId="0" applyFont="1" applyBorder="1" applyAlignment="1">
      <alignment horizontal="center" vertical="top"/>
    </xf>
    <xf numFmtId="0" fontId="5" fillId="0" borderId="5" xfId="0" applyFont="1" applyBorder="1" applyAlignment="1">
      <alignment horizontal="center" vertical="top"/>
    </xf>
    <xf numFmtId="0" fontId="5" fillId="0" borderId="6" xfId="0" applyFont="1" applyBorder="1" applyAlignment="1">
      <alignment horizontal="center" vertical="top" wrapText="1"/>
    </xf>
    <xf numFmtId="0" fontId="37" fillId="0" borderId="0" xfId="0" applyFont="1" applyAlignment="1">
      <alignment vertical="top"/>
    </xf>
    <xf numFmtId="0" fontId="7" fillId="0" borderId="0" xfId="0" applyFont="1" applyAlignment="1">
      <alignment vertical="top"/>
    </xf>
    <xf numFmtId="0" fontId="5" fillId="0" borderId="0" xfId="0" applyFont="1" applyAlignment="1">
      <alignment horizontal="center" vertical="top"/>
    </xf>
    <xf numFmtId="0" fontId="43" fillId="2" borderId="1" xfId="0" applyFont="1" applyFill="1" applyBorder="1" applyAlignment="1">
      <alignment horizontal="right" vertical="center" shrinkToFit="1"/>
    </xf>
    <xf numFmtId="0" fontId="4" fillId="3" borderId="1" xfId="0" applyFont="1" applyFill="1" applyBorder="1" applyAlignment="1" applyProtection="1">
      <alignment horizontal="center" vertical="center" shrinkToFit="1"/>
      <protection locked="0"/>
    </xf>
    <xf numFmtId="0" fontId="4" fillId="0" borderId="1" xfId="0" applyFont="1" applyBorder="1" applyAlignment="1" applyProtection="1">
      <alignment horizontal="center" vertical="center" shrinkToFit="1"/>
      <protection locked="0"/>
    </xf>
    <xf numFmtId="56" fontId="4" fillId="0" borderId="1" xfId="0" applyNumberFormat="1" applyFont="1" applyBorder="1" applyAlignment="1" applyProtection="1">
      <alignment horizontal="center" vertical="center" shrinkToFit="1"/>
      <protection locked="0"/>
    </xf>
    <xf numFmtId="0" fontId="4" fillId="0" borderId="1" xfId="0" applyFont="1" applyBorder="1" applyAlignment="1" applyProtection="1">
      <alignment vertical="center" shrinkToFit="1"/>
      <protection locked="0"/>
    </xf>
    <xf numFmtId="0" fontId="4" fillId="0" borderId="1" xfId="0" applyFont="1" applyBorder="1" applyProtection="1">
      <alignment vertical="center"/>
      <protection locked="0"/>
    </xf>
    <xf numFmtId="0" fontId="5" fillId="0" borderId="3" xfId="0" applyFont="1" applyBorder="1" applyAlignment="1" applyProtection="1">
      <alignment horizontal="center" vertical="center" shrinkToFit="1"/>
      <protection locked="0"/>
    </xf>
    <xf numFmtId="0" fontId="4" fillId="0" borderId="5" xfId="0" applyFont="1" applyBorder="1" applyAlignment="1" applyProtection="1">
      <alignment horizontal="center" vertical="center"/>
      <protection locked="0"/>
    </xf>
    <xf numFmtId="176" fontId="4" fillId="0" borderId="1" xfId="0" applyNumberFormat="1" applyFont="1" applyBorder="1" applyAlignment="1" applyProtection="1">
      <alignment horizontal="center" vertical="center" shrinkToFit="1"/>
      <protection locked="0"/>
    </xf>
    <xf numFmtId="0" fontId="4" fillId="0" borderId="0" xfId="0" applyFont="1" applyProtection="1">
      <alignment vertical="center"/>
      <protection locked="0"/>
    </xf>
    <xf numFmtId="0" fontId="4" fillId="0" borderId="3" xfId="0" applyFont="1" applyBorder="1" applyAlignment="1" applyProtection="1">
      <alignment horizontal="center" vertical="center"/>
      <protection locked="0"/>
    </xf>
    <xf numFmtId="176" fontId="4" fillId="0" borderId="15" xfId="0" applyNumberFormat="1" applyFont="1" applyBorder="1" applyAlignment="1" applyProtection="1">
      <alignment horizontal="center" vertical="center" shrinkToFit="1"/>
      <protection locked="0"/>
    </xf>
    <xf numFmtId="0" fontId="4" fillId="0" borderId="3" xfId="0" applyFont="1" applyBorder="1" applyAlignment="1" applyProtection="1">
      <alignment horizontal="center" vertical="center" shrinkToFit="1"/>
      <protection locked="0"/>
    </xf>
    <xf numFmtId="0" fontId="22" fillId="0" borderId="4" xfId="0" applyFont="1" applyBorder="1" applyAlignment="1" applyProtection="1">
      <alignment horizontal="right" vertical="center"/>
      <protection locked="0"/>
    </xf>
    <xf numFmtId="0" fontId="22" fillId="0" borderId="4" xfId="0" applyFont="1" applyBorder="1" applyAlignment="1" applyProtection="1">
      <alignment horizontal="right" vertical="center" shrinkToFit="1"/>
      <protection locked="0"/>
    </xf>
    <xf numFmtId="0" fontId="0" fillId="6" borderId="0" xfId="0" applyFill="1" applyProtection="1">
      <alignment vertical="center"/>
      <protection locked="0"/>
    </xf>
    <xf numFmtId="0" fontId="12" fillId="0" borderId="11" xfId="0" applyFont="1" applyBorder="1" applyProtection="1">
      <alignment vertical="center"/>
      <protection locked="0"/>
    </xf>
    <xf numFmtId="0" fontId="12" fillId="0" borderId="12" xfId="0" applyFont="1" applyBorder="1" applyProtection="1">
      <alignment vertical="center"/>
      <protection locked="0"/>
    </xf>
    <xf numFmtId="0" fontId="45" fillId="0" borderId="0" xfId="0" applyFont="1" applyAlignment="1">
      <alignment horizontal="right" vertical="center"/>
    </xf>
    <xf numFmtId="0" fontId="32" fillId="0" borderId="0" xfId="0" applyFont="1" applyAlignment="1">
      <alignment horizontal="right" vertical="center"/>
    </xf>
    <xf numFmtId="0" fontId="45" fillId="0" borderId="0" xfId="0" applyFont="1" applyAlignment="1">
      <alignment horizontal="right"/>
    </xf>
    <xf numFmtId="0" fontId="46" fillId="0" borderId="0" xfId="0" applyFont="1" applyAlignment="1">
      <alignment horizontal="right"/>
    </xf>
    <xf numFmtId="0" fontId="34" fillId="7" borderId="0" xfId="0" applyFont="1" applyFill="1" applyAlignment="1"/>
    <xf numFmtId="0" fontId="15" fillId="0" borderId="0" xfId="0" applyFont="1" applyProtection="1">
      <alignment vertical="center"/>
      <protection locked="0"/>
    </xf>
    <xf numFmtId="0" fontId="4" fillId="0" borderId="0" xfId="0" applyFont="1" applyAlignment="1">
      <alignment horizontal="center" vertical="center" shrinkToFi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center" vertical="center" shrinkToFit="1"/>
    </xf>
    <xf numFmtId="0" fontId="5" fillId="0" borderId="0" xfId="0" applyFont="1" applyAlignment="1">
      <alignment horizontal="left" vertical="center"/>
    </xf>
    <xf numFmtId="0" fontId="12" fillId="0" borderId="0" xfId="0" applyFont="1" applyAlignment="1" applyProtection="1">
      <alignment horizontal="center" vertical="center"/>
      <protection locked="0"/>
    </xf>
    <xf numFmtId="0" fontId="27" fillId="0" borderId="1" xfId="0" applyFont="1" applyBorder="1" applyAlignment="1" applyProtection="1">
      <alignment horizontal="justify" vertical="center" wrapText="1"/>
      <protection locked="0"/>
    </xf>
    <xf numFmtId="0" fontId="15" fillId="0" borderId="1" xfId="0" applyFont="1" applyBorder="1" applyAlignment="1" applyProtection="1">
      <alignment horizontal="justify" vertical="center" wrapText="1"/>
      <protection locked="0"/>
    </xf>
    <xf numFmtId="0" fontId="22" fillId="0" borderId="3" xfId="0" applyFont="1" applyBorder="1" applyAlignment="1" applyProtection="1">
      <alignment horizontal="center" vertical="center"/>
      <protection locked="0"/>
    </xf>
    <xf numFmtId="0" fontId="15" fillId="0" borderId="11" xfId="0" applyFont="1" applyBorder="1" applyAlignment="1">
      <alignment horizontal="center" vertical="center"/>
    </xf>
    <xf numFmtId="0" fontId="15" fillId="0" borderId="10" xfId="0" applyFont="1" applyBorder="1">
      <alignment vertical="center"/>
    </xf>
    <xf numFmtId="0" fontId="27" fillId="0" borderId="0" xfId="0" applyFont="1">
      <alignment vertical="center"/>
    </xf>
    <xf numFmtId="0" fontId="15" fillId="0" borderId="0" xfId="0" applyFont="1">
      <alignment vertical="center"/>
    </xf>
    <xf numFmtId="0" fontId="40" fillId="0" borderId="0" xfId="0" applyFont="1" applyAlignment="1">
      <alignment horizontal="left" vertical="center"/>
    </xf>
    <xf numFmtId="0" fontId="47" fillId="0" borderId="0" xfId="0" applyFont="1">
      <alignment vertical="center"/>
    </xf>
    <xf numFmtId="0" fontId="12" fillId="0" borderId="0" xfId="0" applyFont="1" applyAlignment="1">
      <alignment horizontal="center" vertical="center"/>
    </xf>
    <xf numFmtId="0" fontId="12" fillId="0" borderId="12" xfId="0" applyFont="1" applyBorder="1" applyAlignment="1" applyProtection="1">
      <alignment horizontal="center" vertical="center"/>
      <protection locked="0"/>
    </xf>
    <xf numFmtId="0" fontId="40" fillId="0" borderId="0" xfId="0" applyFont="1">
      <alignment vertical="center"/>
    </xf>
    <xf numFmtId="0" fontId="0" fillId="0" borderId="0" xfId="0" applyAlignment="1">
      <alignment horizontal="center" vertical="center"/>
    </xf>
    <xf numFmtId="0" fontId="48" fillId="0" borderId="0" xfId="0" applyFont="1">
      <alignment vertical="center"/>
    </xf>
    <xf numFmtId="0" fontId="26" fillId="0" borderId="4" xfId="0" applyFont="1" applyBorder="1" applyAlignment="1">
      <alignment horizontal="center" vertical="center" wrapText="1"/>
    </xf>
    <xf numFmtId="0" fontId="17" fillId="0" borderId="4" xfId="0" applyFont="1" applyBorder="1" applyAlignment="1" applyProtection="1">
      <alignment horizontal="right" vertical="center"/>
      <protection locked="0"/>
    </xf>
    <xf numFmtId="0" fontId="17" fillId="0" borderId="3" xfId="0" applyFont="1" applyBorder="1" applyAlignment="1" applyProtection="1">
      <alignment horizontal="center" vertical="center"/>
      <protection locked="0"/>
    </xf>
    <xf numFmtId="0" fontId="49" fillId="5" borderId="4" xfId="0" applyFont="1" applyFill="1" applyBorder="1" applyAlignment="1">
      <alignment horizontal="center" vertical="center"/>
    </xf>
    <xf numFmtId="0" fontId="49" fillId="5" borderId="1" xfId="0" applyFont="1" applyFill="1" applyBorder="1" applyAlignment="1">
      <alignment horizontal="center" vertical="center"/>
    </xf>
    <xf numFmtId="0" fontId="27" fillId="0" borderId="2" xfId="0" applyFont="1" applyBorder="1" applyAlignment="1">
      <alignment horizontal="left"/>
    </xf>
    <xf numFmtId="0" fontId="50" fillId="0" borderId="0" xfId="0" applyFont="1" applyAlignment="1"/>
    <xf numFmtId="0" fontId="27" fillId="0" borderId="14" xfId="0" applyFont="1" applyBorder="1" applyAlignment="1">
      <alignment horizontal="left"/>
    </xf>
    <xf numFmtId="0" fontId="51" fillId="0" borderId="0" xfId="0" applyFont="1">
      <alignment vertical="center"/>
    </xf>
    <xf numFmtId="0" fontId="51" fillId="0" borderId="0" xfId="0" applyFont="1" applyAlignment="1">
      <alignment horizontal="left" vertical="center" wrapText="1"/>
    </xf>
    <xf numFmtId="0" fontId="51" fillId="0" borderId="0" xfId="0" applyFont="1" applyAlignment="1">
      <alignment vertical="center" wrapText="1"/>
    </xf>
    <xf numFmtId="0" fontId="51" fillId="0" borderId="0" xfId="0" applyFont="1" applyAlignment="1">
      <alignment horizontal="center" vertical="center"/>
    </xf>
    <xf numFmtId="0" fontId="51" fillId="0" borderId="0" xfId="0" applyFont="1" applyAlignment="1">
      <alignment horizontal="center" vertical="center" wrapText="1"/>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pplyProtection="1">
      <alignment horizontal="left" vertical="center"/>
      <protection locked="0"/>
    </xf>
    <xf numFmtId="0" fontId="4" fillId="0" borderId="1" xfId="0" applyFont="1" applyBorder="1" applyAlignment="1" applyProtection="1">
      <alignment horizontal="center" vertical="center"/>
      <protection locked="0"/>
    </xf>
    <xf numFmtId="49" fontId="4" fillId="0" borderId="4" xfId="0" applyNumberFormat="1"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19" xfId="0" applyFont="1" applyBorder="1" applyAlignment="1" applyProtection="1">
      <alignment horizontal="center" vertical="center"/>
      <protection locked="0"/>
    </xf>
    <xf numFmtId="0" fontId="53" fillId="0" borderId="0" xfId="0" applyFont="1" applyAlignment="1">
      <alignment horizontal="center" vertical="center" wrapText="1"/>
    </xf>
    <xf numFmtId="0" fontId="55" fillId="0" borderId="0" xfId="0" applyFont="1">
      <alignment vertical="center"/>
    </xf>
    <xf numFmtId="0" fontId="55" fillId="0" borderId="0" xfId="0" applyFont="1" applyAlignment="1">
      <alignment horizontal="center" vertical="center"/>
    </xf>
    <xf numFmtId="0" fontId="58" fillId="0" borderId="0" xfId="0" applyFont="1">
      <alignment vertical="center"/>
    </xf>
    <xf numFmtId="0" fontId="6" fillId="8" borderId="1" xfId="0" applyFont="1" applyFill="1" applyBorder="1" applyAlignment="1">
      <alignment horizontal="right" vertical="top" wrapText="1"/>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lignment vertical="center"/>
    </xf>
    <xf numFmtId="0" fontId="57" fillId="0" borderId="0" xfId="0" applyFont="1" applyAlignment="1">
      <alignment horizontal="right" vertical="center"/>
    </xf>
    <xf numFmtId="0" fontId="15" fillId="0" borderId="11" xfId="0" applyFont="1" applyBorder="1" applyAlignment="1" applyProtection="1">
      <alignment vertical="top" wrapText="1" shrinkToFit="1"/>
      <protection locked="0"/>
    </xf>
    <xf numFmtId="0" fontId="15" fillId="0" borderId="0" xfId="0" applyFont="1" applyAlignment="1" applyProtection="1">
      <alignment vertical="top" wrapText="1" shrinkToFit="1"/>
      <protection locked="0"/>
    </xf>
    <xf numFmtId="0" fontId="0" fillId="0" borderId="0" xfId="0" applyAlignment="1">
      <alignment horizontal="left" vertical="center"/>
    </xf>
    <xf numFmtId="0" fontId="59" fillId="0" borderId="0" xfId="0" applyFont="1" applyAlignment="1">
      <alignment vertical="center" shrinkToFit="1"/>
    </xf>
    <xf numFmtId="0" fontId="59" fillId="0" borderId="0" xfId="0" applyFont="1">
      <alignment vertical="center"/>
    </xf>
    <xf numFmtId="0" fontId="59" fillId="0" borderId="29" xfId="0" applyFont="1" applyBorder="1">
      <alignment vertical="center"/>
    </xf>
    <xf numFmtId="0" fontId="59" fillId="0" borderId="30" xfId="0" applyFont="1" applyBorder="1" applyAlignment="1">
      <alignment vertical="center" shrinkToFit="1"/>
    </xf>
    <xf numFmtId="0" fontId="59" fillId="0" borderId="31" xfId="0" applyFont="1" applyBorder="1" applyAlignment="1">
      <alignment vertical="center" shrinkToFit="1"/>
    </xf>
    <xf numFmtId="0" fontId="59" fillId="0" borderId="30" xfId="0" applyFont="1" applyBorder="1">
      <alignment vertical="center"/>
    </xf>
    <xf numFmtId="0" fontId="59" fillId="0" borderId="32" xfId="0" applyFont="1" applyBorder="1" applyAlignment="1">
      <alignment vertical="center" shrinkToFit="1"/>
    </xf>
    <xf numFmtId="0" fontId="59" fillId="0" borderId="33" xfId="0" applyFont="1" applyBorder="1" applyAlignment="1">
      <alignment vertical="center" shrinkToFit="1"/>
    </xf>
    <xf numFmtId="0" fontId="59" fillId="0" borderId="34" xfId="0" applyFont="1" applyBorder="1" applyAlignment="1">
      <alignment vertical="center" shrinkToFit="1"/>
    </xf>
    <xf numFmtId="0" fontId="59" fillId="0" borderId="35" xfId="0" applyFont="1" applyBorder="1" applyAlignment="1">
      <alignment vertical="center" shrinkToFit="1"/>
    </xf>
    <xf numFmtId="0" fontId="59" fillId="0" borderId="36" xfId="0" applyFont="1" applyBorder="1" applyAlignment="1">
      <alignment vertical="center" shrinkToFit="1"/>
    </xf>
    <xf numFmtId="0" fontId="59" fillId="0" borderId="37" xfId="0" applyFont="1" applyBorder="1" applyAlignment="1">
      <alignment vertical="center" shrinkToFit="1"/>
    </xf>
    <xf numFmtId="0" fontId="59" fillId="0" borderId="38" xfId="0" applyFont="1" applyBorder="1" applyAlignment="1">
      <alignment vertical="center" shrinkToFit="1"/>
    </xf>
    <xf numFmtId="0" fontId="59" fillId="0" borderId="0" xfId="0" applyFont="1" applyAlignment="1">
      <alignment horizontal="center" vertical="center" shrinkToFit="1"/>
    </xf>
    <xf numFmtId="0" fontId="59" fillId="0" borderId="39" xfId="0" applyFont="1" applyBorder="1" applyAlignment="1">
      <alignment vertical="center" shrinkToFit="1"/>
    </xf>
    <xf numFmtId="0" fontId="59" fillId="0" borderId="40" xfId="0" applyFont="1" applyBorder="1" applyAlignment="1">
      <alignment vertical="center" shrinkToFit="1"/>
    </xf>
    <xf numFmtId="0" fontId="59" fillId="0" borderId="41" xfId="0" applyFont="1" applyBorder="1" applyAlignment="1">
      <alignment vertical="center" shrinkToFit="1"/>
    </xf>
    <xf numFmtId="0" fontId="59" fillId="0" borderId="42" xfId="0" applyFont="1" applyBorder="1">
      <alignment vertical="center"/>
    </xf>
    <xf numFmtId="0" fontId="59" fillId="0" borderId="43" xfId="0" applyFont="1" applyBorder="1">
      <alignment vertical="center"/>
    </xf>
    <xf numFmtId="0" fontId="64" fillId="0" borderId="37" xfId="0" applyFont="1" applyBorder="1">
      <alignment vertical="center"/>
    </xf>
    <xf numFmtId="0" fontId="65" fillId="0" borderId="41" xfId="0" applyFont="1" applyBorder="1" applyAlignment="1">
      <alignment vertical="center" shrinkToFit="1"/>
    </xf>
    <xf numFmtId="0" fontId="65" fillId="0" borderId="38" xfId="0" applyFont="1" applyBorder="1" applyAlignment="1">
      <alignment vertical="center" shrinkToFit="1"/>
    </xf>
    <xf numFmtId="0" fontId="66" fillId="0" borderId="38" xfId="0" applyFont="1" applyBorder="1" applyAlignment="1">
      <alignment vertical="center" shrinkToFit="1"/>
    </xf>
    <xf numFmtId="0" fontId="66" fillId="0" borderId="36" xfId="0" applyFont="1" applyBorder="1" applyAlignment="1">
      <alignment vertical="center" shrinkToFit="1"/>
    </xf>
    <xf numFmtId="0" fontId="66" fillId="0" borderId="0" xfId="0" applyFont="1" applyAlignment="1">
      <alignment vertical="center" shrinkToFit="1"/>
    </xf>
    <xf numFmtId="0" fontId="59" fillId="0" borderId="52" xfId="0" applyFont="1" applyBorder="1">
      <alignment vertical="center"/>
    </xf>
    <xf numFmtId="0" fontId="15" fillId="0" borderId="10" xfId="0" applyFont="1" applyBorder="1" applyAlignment="1" applyProtection="1">
      <alignment vertical="top" wrapText="1" shrinkToFit="1"/>
      <protection locked="0"/>
    </xf>
    <xf numFmtId="0" fontId="6" fillId="8" borderId="6" xfId="0" applyFont="1" applyFill="1" applyBorder="1" applyAlignment="1">
      <alignment horizontal="right" vertical="top"/>
    </xf>
    <xf numFmtId="0" fontId="6" fillId="8" borderId="3" xfId="0" applyFont="1" applyFill="1" applyBorder="1" applyAlignment="1">
      <alignment horizontal="right" vertical="top"/>
    </xf>
    <xf numFmtId="0" fontId="6" fillId="8" borderId="1" xfId="0" applyFont="1" applyFill="1" applyBorder="1" applyAlignment="1">
      <alignment horizontal="center" vertical="center" wrapText="1"/>
    </xf>
    <xf numFmtId="0" fontId="6" fillId="8" borderId="13" xfId="0" applyFont="1" applyFill="1" applyBorder="1" applyAlignment="1">
      <alignment horizontal="right" vertical="top" wrapText="1"/>
    </xf>
    <xf numFmtId="0" fontId="68" fillId="0" borderId="0" xfId="0" applyFont="1" applyAlignment="1">
      <alignment horizontal="center" vertical="center"/>
    </xf>
    <xf numFmtId="0" fontId="0" fillId="0" borderId="0" xfId="0" applyAlignment="1">
      <alignment horizontal="right" vertical="top"/>
    </xf>
    <xf numFmtId="0" fontId="6" fillId="8" borderId="4" xfId="0" applyFont="1" applyFill="1" applyBorder="1" applyAlignment="1">
      <alignment horizontal="right" vertical="top" wrapText="1"/>
    </xf>
    <xf numFmtId="0" fontId="6" fillId="8" borderId="57" xfId="0" applyFont="1" applyFill="1" applyBorder="1" applyAlignment="1">
      <alignment horizontal="right" vertical="top" wrapText="1"/>
    </xf>
    <xf numFmtId="0" fontId="6" fillId="8" borderId="4"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8" borderId="3" xfId="0" applyFont="1" applyFill="1" applyBorder="1" applyAlignment="1">
      <alignment horizontal="right" vertical="top" wrapText="1"/>
    </xf>
    <xf numFmtId="0" fontId="6" fillId="8" borderId="58" xfId="0" applyFont="1" applyFill="1" applyBorder="1" applyAlignment="1">
      <alignment horizontal="right" vertical="top" wrapText="1"/>
    </xf>
    <xf numFmtId="0" fontId="12" fillId="0" borderId="11" xfId="0" applyFont="1" applyBorder="1" applyAlignment="1" applyProtection="1">
      <alignment horizontal="center" vertical="center"/>
      <protection locked="0"/>
    </xf>
    <xf numFmtId="0" fontId="57" fillId="0" borderId="0" xfId="0" applyFont="1">
      <alignment vertical="center"/>
    </xf>
    <xf numFmtId="0" fontId="55" fillId="0" borderId="0" xfId="0" applyFont="1" applyAlignment="1">
      <alignment horizontal="left" vertical="center"/>
    </xf>
    <xf numFmtId="0" fontId="72" fillId="0" borderId="0" xfId="0" applyFont="1">
      <alignment vertical="center"/>
    </xf>
    <xf numFmtId="0" fontId="74" fillId="0" borderId="0" xfId="0" applyFont="1">
      <alignment vertical="center"/>
    </xf>
    <xf numFmtId="0" fontId="72" fillId="0" borderId="0" xfId="0" applyFont="1" applyAlignment="1"/>
    <xf numFmtId="0" fontId="73" fillId="0" borderId="0" xfId="0" applyFont="1">
      <alignment vertical="center"/>
    </xf>
    <xf numFmtId="0" fontId="73" fillId="5" borderId="1" xfId="0" applyFont="1" applyFill="1" applyBorder="1">
      <alignment vertical="center"/>
    </xf>
    <xf numFmtId="0" fontId="73" fillId="0" borderId="1" xfId="0" applyFont="1" applyBorder="1" applyAlignment="1">
      <alignment horizontal="center" vertical="center"/>
    </xf>
    <xf numFmtId="0" fontId="73" fillId="0" borderId="0" xfId="0" applyFont="1" applyAlignment="1">
      <alignment horizontal="left" vertical="center"/>
    </xf>
    <xf numFmtId="0" fontId="73" fillId="0" borderId="0" xfId="0" applyFont="1" applyAlignment="1">
      <alignment horizontal="left" vertical="center" wrapText="1"/>
    </xf>
    <xf numFmtId="0" fontId="73" fillId="0" borderId="0" xfId="0" applyFont="1" applyAlignment="1">
      <alignment horizontal="right" vertical="center"/>
    </xf>
    <xf numFmtId="0" fontId="73" fillId="0" borderId="6" xfId="0" applyFont="1" applyBorder="1" applyAlignment="1">
      <alignment horizontal="center" vertical="center"/>
    </xf>
    <xf numFmtId="0" fontId="73" fillId="0" borderId="59" xfId="0" applyFont="1" applyBorder="1" applyAlignment="1">
      <alignment horizontal="center" vertical="center"/>
    </xf>
    <xf numFmtId="0" fontId="51" fillId="0" borderId="2" xfId="0" applyFont="1" applyBorder="1" applyAlignment="1">
      <alignment horizontal="center" vertical="center"/>
    </xf>
    <xf numFmtId="0" fontId="51" fillId="0" borderId="2" xfId="0" applyFont="1" applyBorder="1" applyAlignment="1">
      <alignment horizontal="center" vertical="center" wrapText="1"/>
    </xf>
    <xf numFmtId="0" fontId="51" fillId="0" borderId="2" xfId="0" applyFont="1" applyBorder="1">
      <alignment vertical="center"/>
    </xf>
    <xf numFmtId="0" fontId="0" fillId="0" borderId="2" xfId="0" applyBorder="1" applyAlignment="1">
      <alignment horizontal="center" vertical="center"/>
    </xf>
    <xf numFmtId="0" fontId="6" fillId="8" borderId="15" xfId="0" applyFont="1" applyFill="1" applyBorder="1" applyAlignment="1">
      <alignment horizontal="right" vertical="top" wrapText="1"/>
    </xf>
    <xf numFmtId="0" fontId="75" fillId="0" borderId="0" xfId="0" applyFont="1" applyAlignment="1">
      <alignment horizontal="right" vertical="center"/>
    </xf>
    <xf numFmtId="0" fontId="0" fillId="10" borderId="55" xfId="0" applyFill="1" applyBorder="1" applyAlignment="1">
      <alignment horizontal="center" vertical="center" shrinkToFit="1"/>
    </xf>
    <xf numFmtId="0" fontId="0" fillId="10" borderId="18" xfId="0" applyFill="1" applyBorder="1" applyAlignment="1">
      <alignment horizontal="center" vertical="center" shrinkToFit="1"/>
    </xf>
    <xf numFmtId="0" fontId="3" fillId="0" borderId="0" xfId="0" applyFont="1">
      <alignment vertical="center"/>
    </xf>
    <xf numFmtId="0" fontId="0" fillId="0" borderId="16"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0" fontId="0" fillId="0" borderId="60" xfId="0" applyBorder="1" applyAlignment="1" applyProtection="1">
      <alignment horizontal="center" vertical="center" shrinkToFit="1"/>
      <protection locked="0"/>
    </xf>
    <xf numFmtId="0" fontId="0" fillId="0" borderId="17" xfId="0" applyBorder="1" applyAlignment="1" applyProtection="1">
      <alignment horizontal="center" vertical="center" shrinkToFit="1"/>
      <protection locked="0"/>
    </xf>
    <xf numFmtId="0" fontId="0" fillId="0" borderId="54" xfId="0" applyBorder="1" applyAlignment="1" applyProtection="1">
      <alignment horizontal="center" vertical="center" shrinkToFit="1"/>
      <protection locked="0"/>
    </xf>
    <xf numFmtId="0" fontId="0" fillId="0" borderId="56" xfId="0" applyBorder="1" applyAlignment="1" applyProtection="1">
      <alignment horizontal="center" vertical="center" shrinkToFit="1"/>
      <protection locked="0"/>
    </xf>
    <xf numFmtId="0" fontId="17" fillId="0" borderId="1" xfId="0" applyFont="1" applyBorder="1" applyAlignment="1" applyProtection="1">
      <alignment horizontal="center" vertical="center"/>
      <protection locked="0"/>
    </xf>
    <xf numFmtId="0" fontId="67" fillId="0" borderId="0" xfId="0" applyFont="1">
      <alignment vertical="center"/>
    </xf>
    <xf numFmtId="56" fontId="4" fillId="11" borderId="1" xfId="0" applyNumberFormat="1" applyFont="1" applyFill="1" applyBorder="1" applyAlignment="1" applyProtection="1">
      <alignment horizontal="center" vertical="center" shrinkToFit="1"/>
      <protection locked="0"/>
    </xf>
    <xf numFmtId="0" fontId="4" fillId="11" borderId="1" xfId="0" applyFont="1" applyFill="1" applyBorder="1" applyAlignment="1" applyProtection="1">
      <alignment horizontal="center" vertical="center" shrinkToFit="1"/>
      <protection locked="0"/>
    </xf>
    <xf numFmtId="0" fontId="4" fillId="0" borderId="61" xfId="0" applyFont="1" applyBorder="1" applyAlignment="1" applyProtection="1">
      <alignment horizontal="center" vertical="center" shrinkToFit="1"/>
      <protection locked="0"/>
    </xf>
    <xf numFmtId="0" fontId="4" fillId="0" borderId="6" xfId="0" applyFont="1" applyBorder="1" applyAlignment="1">
      <alignment horizontal="center" vertical="center" shrinkToFit="1"/>
    </xf>
    <xf numFmtId="0" fontId="0" fillId="0" borderId="62" xfId="0" applyBorder="1" applyAlignment="1" applyProtection="1">
      <alignment horizontal="center" vertical="center" shrinkToFit="1"/>
      <protection locked="0"/>
    </xf>
    <xf numFmtId="0" fontId="0" fillId="0" borderId="63" xfId="0" applyBorder="1" applyAlignment="1" applyProtection="1">
      <alignment horizontal="center" vertical="center" shrinkToFit="1"/>
      <protection locked="0"/>
    </xf>
    <xf numFmtId="0" fontId="0" fillId="0" borderId="64" xfId="0" applyBorder="1" applyAlignment="1" applyProtection="1">
      <alignment horizontal="center" vertical="center" shrinkToFit="1"/>
      <protection locked="0"/>
    </xf>
    <xf numFmtId="0" fontId="0" fillId="0" borderId="65" xfId="0" applyBorder="1" applyAlignment="1" applyProtection="1">
      <alignment horizontal="center" vertical="center" shrinkToFit="1"/>
      <protection locked="0"/>
    </xf>
    <xf numFmtId="0" fontId="6" fillId="8" borderId="19" xfId="0" applyFont="1" applyFill="1" applyBorder="1" applyAlignment="1">
      <alignment horizontal="right" vertical="top" wrapText="1"/>
    </xf>
    <xf numFmtId="0" fontId="6" fillId="12" borderId="1" xfId="0" applyFont="1" applyFill="1" applyBorder="1" applyAlignment="1">
      <alignment horizontal="center" vertical="center"/>
    </xf>
    <xf numFmtId="0" fontId="4" fillId="0" borderId="0" xfId="0" applyFont="1" applyAlignment="1">
      <alignment horizontal="right" vertical="center" shrinkToFit="1"/>
    </xf>
    <xf numFmtId="0" fontId="4" fillId="13" borderId="1" xfId="0" applyFont="1" applyFill="1" applyBorder="1" applyAlignment="1">
      <alignment horizontal="left" vertical="center"/>
    </xf>
    <xf numFmtId="0" fontId="4" fillId="0" borderId="1" xfId="0" applyFont="1" applyBorder="1" applyAlignment="1">
      <alignment horizontal="left" vertical="center"/>
    </xf>
    <xf numFmtId="0" fontId="81" fillId="0" borderId="0" xfId="0" applyFont="1">
      <alignment vertical="center"/>
    </xf>
    <xf numFmtId="0" fontId="82" fillId="0" borderId="0" xfId="0" applyFont="1">
      <alignment vertical="center"/>
    </xf>
    <xf numFmtId="0" fontId="83" fillId="2" borderId="1" xfId="0" applyFont="1" applyFill="1" applyBorder="1" applyAlignment="1">
      <alignment horizontal="center" vertical="center"/>
    </xf>
    <xf numFmtId="0" fontId="84" fillId="0" borderId="1" xfId="0" applyFont="1" applyBorder="1">
      <alignment vertical="center"/>
    </xf>
    <xf numFmtId="0" fontId="85" fillId="0" borderId="1" xfId="0" applyFont="1" applyBorder="1">
      <alignment vertical="center"/>
    </xf>
    <xf numFmtId="0" fontId="0" fillId="0" borderId="67" xfId="0" applyBorder="1" applyAlignment="1">
      <alignment horizontal="center" vertical="center"/>
    </xf>
    <xf numFmtId="0" fontId="0" fillId="0" borderId="66" xfId="0" applyBorder="1" applyAlignment="1">
      <alignment horizontal="center" vertical="center"/>
    </xf>
    <xf numFmtId="0" fontId="0" fillId="0" borderId="1" xfId="0" applyBorder="1">
      <alignment vertical="center"/>
    </xf>
    <xf numFmtId="56" fontId="0" fillId="0" borderId="1" xfId="0" applyNumberFormat="1" applyBorder="1" applyAlignment="1" applyProtection="1">
      <alignment horizontal="right" vertical="center" shrinkToFit="1"/>
      <protection locked="0"/>
    </xf>
    <xf numFmtId="0" fontId="0" fillId="10" borderId="53" xfId="0" applyFill="1" applyBorder="1" applyAlignment="1">
      <alignment horizontal="center" vertical="center" wrapText="1"/>
    </xf>
    <xf numFmtId="0" fontId="0" fillId="10" borderId="0" xfId="0" applyFill="1" applyAlignment="1">
      <alignment horizontal="center" vertical="center" wrapText="1"/>
    </xf>
    <xf numFmtId="0" fontId="0" fillId="10" borderId="11" xfId="0" applyFill="1" applyBorder="1" applyAlignment="1">
      <alignment horizontal="center" vertical="center" wrapText="1"/>
    </xf>
    <xf numFmtId="176" fontId="0" fillId="10" borderId="11" xfId="0" applyNumberFormat="1" applyFill="1" applyBorder="1" applyAlignment="1">
      <alignment horizontal="center" vertical="center" wrapText="1"/>
    </xf>
    <xf numFmtId="176" fontId="0" fillId="10" borderId="0" xfId="0" applyNumberFormat="1" applyFill="1" applyAlignment="1">
      <alignment horizontal="center" vertical="center" wrapText="1"/>
    </xf>
    <xf numFmtId="56" fontId="0" fillId="10" borderId="15" xfId="0" applyNumberFormat="1" applyFill="1" applyBorder="1" applyAlignment="1">
      <alignment horizontal="right" vertical="center" shrinkToFit="1"/>
    </xf>
    <xf numFmtId="56" fontId="0" fillId="10" borderId="53" xfId="0" applyNumberFormat="1" applyFill="1" applyBorder="1" applyAlignment="1">
      <alignment horizontal="center" vertical="center" wrapText="1"/>
    </xf>
    <xf numFmtId="0" fontId="0" fillId="0" borderId="4"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6" fillId="9" borderId="7" xfId="0" applyFont="1" applyFill="1" applyBorder="1" applyAlignment="1">
      <alignment horizontal="right" vertical="top" wrapText="1"/>
    </xf>
    <xf numFmtId="0" fontId="6" fillId="9" borderId="5" xfId="0" applyFont="1" applyFill="1" applyBorder="1" applyAlignment="1">
      <alignment horizontal="right" vertical="top" wrapText="1"/>
    </xf>
    <xf numFmtId="0" fontId="6" fillId="9" borderId="4" xfId="0" applyFont="1" applyFill="1" applyBorder="1" applyAlignment="1">
      <alignment horizontal="right" vertical="top" wrapText="1"/>
    </xf>
    <xf numFmtId="0" fontId="6" fillId="9" borderId="3" xfId="0" applyFont="1" applyFill="1" applyBorder="1" applyAlignment="1">
      <alignment horizontal="right" vertical="top" wrapText="1"/>
    </xf>
    <xf numFmtId="0" fontId="0" fillId="10" borderId="15" xfId="0" applyFill="1" applyBorder="1" applyAlignment="1">
      <alignment horizontal="center" vertical="center" wrapText="1"/>
    </xf>
    <xf numFmtId="0" fontId="5" fillId="0" borderId="2" xfId="0" applyFont="1" applyBorder="1" applyAlignment="1">
      <alignment horizontal="left"/>
    </xf>
    <xf numFmtId="0" fontId="37" fillId="0" borderId="0" xfId="0" applyFont="1" applyAlignment="1">
      <alignment vertical="top"/>
    </xf>
    <xf numFmtId="0" fontId="37" fillId="0" borderId="0" xfId="0" applyFont="1">
      <alignment vertical="center"/>
    </xf>
    <xf numFmtId="0" fontId="4" fillId="0" borderId="4" xfId="0" applyFont="1" applyBorder="1" applyAlignment="1" applyProtection="1">
      <alignment horizontal="left" vertical="center"/>
      <protection locked="0"/>
    </xf>
    <xf numFmtId="0" fontId="4" fillId="0" borderId="3" xfId="0" applyFont="1" applyBorder="1" applyAlignment="1" applyProtection="1">
      <alignment horizontal="left" vertical="center"/>
      <protection locked="0"/>
    </xf>
    <xf numFmtId="0" fontId="12" fillId="0" borderId="10" xfId="0" applyFont="1" applyBorder="1">
      <alignment vertical="center"/>
    </xf>
    <xf numFmtId="0" fontId="12" fillId="0" borderId="8" xfId="0" applyFont="1" applyBorder="1">
      <alignment vertical="center"/>
    </xf>
    <xf numFmtId="0" fontId="17" fillId="0" borderId="0" xfId="0" applyFont="1">
      <alignment vertical="center"/>
    </xf>
    <xf numFmtId="0" fontId="17" fillId="0" borderId="12" xfId="0" applyFont="1" applyBorder="1">
      <alignment vertical="center"/>
    </xf>
    <xf numFmtId="0" fontId="17" fillId="0" borderId="0" xfId="0" applyFont="1" applyAlignment="1">
      <alignment vertical="center" wrapText="1" shrinkToFit="1"/>
    </xf>
    <xf numFmtId="0" fontId="17" fillId="0" borderId="12" xfId="0" applyFont="1" applyBorder="1" applyAlignment="1">
      <alignment vertical="center" wrapText="1" shrinkToFit="1"/>
    </xf>
    <xf numFmtId="0" fontId="49" fillId="5" borderId="4" xfId="0" applyFont="1" applyFill="1" applyBorder="1" applyAlignment="1">
      <alignment horizontal="center" vertical="center"/>
    </xf>
    <xf numFmtId="0" fontId="49" fillId="5" borderId="3" xfId="0" applyFont="1" applyFill="1" applyBorder="1" applyAlignment="1">
      <alignment horizontal="center" vertical="center"/>
    </xf>
    <xf numFmtId="0" fontId="17" fillId="0" borderId="4" xfId="0" applyFont="1" applyBorder="1" applyAlignment="1">
      <alignment horizontal="center" vertical="center"/>
    </xf>
    <xf numFmtId="0" fontId="17" fillId="0" borderId="3" xfId="0" applyFont="1" applyBorder="1" applyAlignment="1">
      <alignment horizontal="center" vertical="center"/>
    </xf>
    <xf numFmtId="0" fontId="49" fillId="5" borderId="1" xfId="0" applyFont="1" applyFill="1" applyBorder="1" applyAlignment="1">
      <alignment horizontal="center" vertical="center"/>
    </xf>
    <xf numFmtId="0" fontId="52" fillId="0" borderId="4" xfId="0" applyFont="1" applyBorder="1" applyAlignment="1" applyProtection="1">
      <alignment vertical="top" wrapText="1"/>
      <protection locked="0"/>
    </xf>
    <xf numFmtId="0" fontId="52" fillId="0" borderId="3" xfId="0" applyFont="1" applyBorder="1" applyAlignment="1" applyProtection="1">
      <alignment vertical="top" wrapText="1"/>
      <protection locked="0"/>
    </xf>
    <xf numFmtId="0" fontId="49" fillId="5" borderId="1" xfId="0" applyFont="1" applyFill="1" applyBorder="1" applyAlignment="1">
      <alignment horizontal="center" vertical="center" wrapText="1"/>
    </xf>
    <xf numFmtId="176" fontId="9" fillId="0" borderId="0" xfId="0" applyNumberFormat="1" applyFont="1" applyAlignment="1">
      <alignment horizontal="right" vertical="center"/>
    </xf>
    <xf numFmtId="0" fontId="9" fillId="0" borderId="0" xfId="0" applyFont="1" applyAlignment="1">
      <alignment horizontal="right" vertical="center"/>
    </xf>
    <xf numFmtId="0" fontId="13" fillId="0" borderId="0" xfId="0" applyFont="1" applyAlignment="1">
      <alignment horizontal="center" vertical="center"/>
    </xf>
    <xf numFmtId="0" fontId="13" fillId="0" borderId="2"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14" xfId="0" applyFont="1" applyBorder="1" applyAlignment="1">
      <alignment horizontal="center" vertical="center"/>
    </xf>
    <xf numFmtId="0" fontId="0" fillId="0" borderId="14"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44" fillId="0" borderId="0" xfId="0" applyFont="1" applyAlignment="1">
      <alignment horizontal="center" vertical="center"/>
    </xf>
    <xf numFmtId="0" fontId="17" fillId="0" borderId="0" xfId="0" applyFont="1" applyAlignment="1">
      <alignment horizontal="center" vertical="center" shrinkToFit="1"/>
    </xf>
    <xf numFmtId="0" fontId="12" fillId="0" borderId="11" xfId="0" applyFont="1" applyBorder="1" applyAlignment="1" applyProtection="1">
      <alignment horizontal="left" vertical="top" wrapText="1" shrinkToFit="1"/>
      <protection locked="0"/>
    </xf>
    <xf numFmtId="0" fontId="12" fillId="0" borderId="0" xfId="0" applyFont="1" applyAlignment="1" applyProtection="1">
      <alignment horizontal="left" vertical="top" wrapText="1" shrinkToFit="1"/>
      <protection locked="0"/>
    </xf>
    <xf numFmtId="0" fontId="12" fillId="0" borderId="12" xfId="0" applyFont="1" applyBorder="1" applyAlignment="1" applyProtection="1">
      <alignment horizontal="left" vertical="top" wrapText="1" shrinkToFit="1"/>
      <protection locked="0"/>
    </xf>
    <xf numFmtId="0" fontId="12" fillId="0" borderId="7" xfId="0" applyFont="1" applyBorder="1" applyAlignment="1" applyProtection="1">
      <alignment horizontal="left" vertical="top" wrapText="1" shrinkToFit="1"/>
      <protection locked="0"/>
    </xf>
    <xf numFmtId="0" fontId="12" fillId="0" borderId="2" xfId="0" applyFont="1" applyBorder="1" applyAlignment="1" applyProtection="1">
      <alignment horizontal="left" vertical="top" wrapText="1" shrinkToFit="1"/>
      <protection locked="0"/>
    </xf>
    <xf numFmtId="0" fontId="12" fillId="0" borderId="5" xfId="0" applyFont="1" applyBorder="1" applyAlignment="1" applyProtection="1">
      <alignment horizontal="left" vertical="top" wrapText="1" shrinkToFit="1"/>
      <protection locked="0"/>
    </xf>
    <xf numFmtId="0" fontId="14" fillId="0" borderId="10" xfId="0" applyFont="1" applyBorder="1" applyAlignment="1">
      <alignment horizontal="center" vertical="center"/>
    </xf>
    <xf numFmtId="0" fontId="17" fillId="0" borderId="0" xfId="0" applyFont="1" applyAlignment="1">
      <alignment horizontal="distributed" vertical="center"/>
    </xf>
    <xf numFmtId="0" fontId="17" fillId="0" borderId="0" xfId="0" applyFont="1" applyAlignment="1">
      <alignment horizontal="left" vertical="top" shrinkToFit="1"/>
    </xf>
    <xf numFmtId="0" fontId="25" fillId="0" borderId="0" xfId="0" applyFont="1" applyAlignment="1">
      <alignment horizontal="left" vertical="top"/>
    </xf>
    <xf numFmtId="0" fontId="25" fillId="0" borderId="0" xfId="0" applyFont="1" applyAlignment="1">
      <alignment horizontal="left" vertical="top" wrapText="1"/>
    </xf>
    <xf numFmtId="176" fontId="17" fillId="0" borderId="0" xfId="0" applyNumberFormat="1" applyFont="1" applyAlignment="1">
      <alignment horizontal="left" vertical="center"/>
    </xf>
    <xf numFmtId="0" fontId="17" fillId="0" borderId="0" xfId="0" applyFont="1" applyAlignment="1">
      <alignment horizontal="distributed" vertical="top" shrinkToFit="1"/>
    </xf>
    <xf numFmtId="0" fontId="19" fillId="0" borderId="0" xfId="0" applyFont="1" applyAlignment="1">
      <alignment horizontal="distributed" vertical="center" indent="16"/>
    </xf>
    <xf numFmtId="0" fontId="22" fillId="0" borderId="0" xfId="0" applyFont="1" applyAlignment="1">
      <alignment horizontal="right" vertical="center"/>
    </xf>
    <xf numFmtId="0" fontId="25" fillId="0" borderId="0" xfId="0" applyFont="1" applyAlignment="1">
      <alignment horizontal="left" vertical="center"/>
    </xf>
    <xf numFmtId="0" fontId="17" fillId="0" borderId="0" xfId="0" applyFont="1" applyAlignment="1">
      <alignment horizontal="distributed" vertical="center" shrinkToFit="1"/>
    </xf>
    <xf numFmtId="0" fontId="17" fillId="0" borderId="0" xfId="0" applyFont="1" applyAlignment="1">
      <alignment horizontal="left" vertical="center"/>
    </xf>
    <xf numFmtId="0" fontId="35" fillId="0" borderId="0" xfId="0" applyFont="1" applyAlignment="1">
      <alignment horizontal="left" vertical="center" shrinkToFit="1"/>
    </xf>
    <xf numFmtId="0" fontId="35" fillId="0" borderId="0" xfId="0" applyFont="1" applyAlignment="1">
      <alignment horizontal="left" vertical="center" wrapText="1"/>
    </xf>
    <xf numFmtId="0" fontId="14" fillId="0" borderId="0" xfId="0" applyFont="1" applyAlignment="1">
      <alignment horizontal="left" vertical="center"/>
    </xf>
    <xf numFmtId="0" fontId="14" fillId="0" borderId="0" xfId="0" applyFont="1" applyAlignment="1">
      <alignment horizontal="left"/>
    </xf>
    <xf numFmtId="0" fontId="86" fillId="0" borderId="0" xfId="0" applyFont="1" applyAlignment="1">
      <alignment horizontal="left" vertical="top" wrapText="1"/>
    </xf>
    <xf numFmtId="0" fontId="57" fillId="0" borderId="0" xfId="0" applyFont="1" applyAlignment="1">
      <alignment horizontal="center" vertical="center"/>
    </xf>
    <xf numFmtId="0" fontId="55" fillId="0" borderId="0" xfId="0" applyFont="1" applyAlignment="1">
      <alignment horizontal="left" vertical="center"/>
    </xf>
    <xf numFmtId="0" fontId="67" fillId="0" borderId="0" xfId="0" applyFont="1" applyAlignment="1">
      <alignment horizontal="center" vertical="center"/>
    </xf>
    <xf numFmtId="0" fontId="0" fillId="0" borderId="0" xfId="0"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 xfId="0" applyBorder="1" applyAlignment="1">
      <alignment horizontal="left" vertical="center" wrapText="1"/>
    </xf>
    <xf numFmtId="0" fontId="28" fillId="0" borderId="0" xfId="0" applyFont="1" applyAlignment="1">
      <alignment horizontal="left" vertical="center"/>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77" fillId="0" borderId="22" xfId="0" applyFont="1" applyBorder="1" applyAlignment="1">
      <alignment horizontal="right" wrapText="1"/>
    </xf>
    <xf numFmtId="0" fontId="78" fillId="0" borderId="23" xfId="0" applyFont="1" applyBorder="1" applyAlignment="1">
      <alignment horizontal="right" wrapText="1"/>
    </xf>
    <xf numFmtId="0" fontId="0" fillId="0" borderId="4" xfId="0" applyBorder="1" applyAlignment="1">
      <alignment horizontal="center" vertical="center" shrinkToFit="1"/>
    </xf>
    <xf numFmtId="0" fontId="0" fillId="0" borderId="3" xfId="0" applyBorder="1" applyAlignment="1">
      <alignment horizontal="center" vertical="center" shrinkToFit="1"/>
    </xf>
    <xf numFmtId="0" fontId="0" fillId="0" borderId="4" xfId="0" applyBorder="1">
      <alignment vertical="center"/>
    </xf>
    <xf numFmtId="0" fontId="0" fillId="0" borderId="3" xfId="0" applyBorder="1">
      <alignment vertical="center"/>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54" fillId="0" borderId="4" xfId="0" applyFont="1" applyBorder="1" applyAlignment="1">
      <alignment horizontal="right"/>
    </xf>
    <xf numFmtId="0" fontId="54" fillId="0" borderId="3" xfId="0" applyFont="1" applyBorder="1" applyAlignment="1">
      <alignment horizontal="right"/>
    </xf>
    <xf numFmtId="0" fontId="0" fillId="0" borderId="10" xfId="0" applyBorder="1" applyAlignment="1">
      <alignment horizontal="right" vertical="center"/>
    </xf>
    <xf numFmtId="0" fontId="0" fillId="0" borderId="0" xfId="0" applyAlignment="1">
      <alignment horizontal="left" vertical="center" wrapText="1"/>
    </xf>
    <xf numFmtId="0" fontId="0" fillId="0" borderId="10" xfId="0" applyBorder="1" applyAlignment="1">
      <alignment horizontal="right" vertical="top"/>
    </xf>
    <xf numFmtId="0" fontId="56" fillId="0" borderId="0" xfId="0" applyFont="1" applyAlignment="1">
      <alignment horizontal="left" vertical="center" wrapText="1"/>
    </xf>
    <xf numFmtId="0" fontId="0" fillId="0" borderId="4" xfId="0" applyBorder="1" applyAlignment="1">
      <alignment horizontal="right" vertical="center"/>
    </xf>
    <xf numFmtId="0" fontId="0" fillId="0" borderId="3" xfId="0" applyBorder="1" applyAlignment="1">
      <alignment horizontal="right" vertical="center"/>
    </xf>
    <xf numFmtId="0" fontId="0" fillId="0" borderId="4" xfId="0" applyBorder="1" applyAlignment="1">
      <alignment horizontal="center" vertical="center" wrapText="1" shrinkToFit="1"/>
    </xf>
    <xf numFmtId="0" fontId="0" fillId="0" borderId="59" xfId="0" applyBorder="1" applyAlignment="1">
      <alignment horizontal="center" vertical="center"/>
    </xf>
    <xf numFmtId="0" fontId="77" fillId="0" borderId="6" xfId="0" applyFont="1" applyBorder="1" applyAlignment="1">
      <alignment horizontal="righ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right" vertical="center"/>
    </xf>
    <xf numFmtId="0" fontId="0" fillId="0" borderId="14" xfId="0" applyBorder="1" applyAlignment="1">
      <alignment horizontal="center" vertical="center" wrapText="1"/>
    </xf>
    <xf numFmtId="0" fontId="0" fillId="0" borderId="24" xfId="0" applyBorder="1" applyAlignment="1">
      <alignment horizontal="center" vertical="center"/>
    </xf>
    <xf numFmtId="0" fontId="78" fillId="0" borderId="25" xfId="0" applyFont="1" applyBorder="1" applyAlignment="1">
      <alignment horizontal="right" wrapText="1"/>
    </xf>
    <xf numFmtId="0" fontId="73" fillId="0" borderId="0" xfId="0" applyFont="1" applyAlignment="1">
      <alignment horizontal="left" vertical="center" wrapText="1"/>
    </xf>
    <xf numFmtId="0" fontId="73" fillId="0" borderId="0" xfId="0" applyFont="1" applyAlignment="1">
      <alignment horizontal="center"/>
    </xf>
    <xf numFmtId="0" fontId="75" fillId="0" borderId="0" xfId="0" applyFont="1" applyAlignment="1">
      <alignment horizontal="center" vertical="center"/>
    </xf>
    <xf numFmtId="0" fontId="73" fillId="0" borderId="59" xfId="0" applyFont="1" applyBorder="1">
      <alignment vertical="center"/>
    </xf>
    <xf numFmtId="0" fontId="73" fillId="0" borderId="6" xfId="0" applyFont="1" applyBorder="1">
      <alignment vertical="center"/>
    </xf>
    <xf numFmtId="0" fontId="73" fillId="0" borderId="1" xfId="0" applyFont="1" applyBorder="1">
      <alignment vertical="center"/>
    </xf>
    <xf numFmtId="0" fontId="73" fillId="0" borderId="1" xfId="0" applyFont="1" applyBorder="1" applyAlignment="1">
      <alignment horizontal="center" vertical="center"/>
    </xf>
    <xf numFmtId="0" fontId="73" fillId="5" borderId="1" xfId="0" applyFont="1" applyFill="1" applyBorder="1" applyAlignment="1">
      <alignment horizontal="center" vertical="center"/>
    </xf>
    <xf numFmtId="0" fontId="61" fillId="0" borderId="0" xfId="0" applyFont="1" applyAlignment="1">
      <alignment horizontal="center" vertical="center" shrinkToFit="1"/>
    </xf>
    <xf numFmtId="0" fontId="0" fillId="0" borderId="0" xfId="0" applyAlignment="1">
      <alignment horizontal="center" vertical="center" shrinkToFit="1"/>
    </xf>
    <xf numFmtId="0" fontId="59" fillId="0" borderId="0" xfId="0" applyFont="1" applyAlignment="1">
      <alignment horizontal="left" vertical="center" shrinkToFit="1"/>
    </xf>
    <xf numFmtId="0" fontId="60" fillId="0" borderId="0" xfId="0" applyFont="1" applyAlignment="1">
      <alignment horizontal="left" vertical="center" shrinkToFit="1"/>
    </xf>
    <xf numFmtId="0" fontId="0" fillId="0" borderId="0" xfId="0" applyAlignment="1">
      <alignment vertical="center" shrinkToFit="1"/>
    </xf>
    <xf numFmtId="0" fontId="60" fillId="0" borderId="0" xfId="0" applyFont="1" applyAlignment="1">
      <alignment horizontal="right" vertical="center" shrinkToFit="1"/>
    </xf>
    <xf numFmtId="0" fontId="62" fillId="0" borderId="51" xfId="0" applyFont="1" applyBorder="1" applyAlignment="1">
      <alignment vertical="center" wrapText="1"/>
    </xf>
    <xf numFmtId="0" fontId="62" fillId="0" borderId="50" xfId="0" applyFont="1" applyBorder="1">
      <alignment vertical="center"/>
    </xf>
    <xf numFmtId="0" fontId="62" fillId="0" borderId="49" xfId="0" applyFont="1" applyBorder="1">
      <alignment vertical="center"/>
    </xf>
    <xf numFmtId="0" fontId="62" fillId="0" borderId="48" xfId="0" applyFont="1" applyBorder="1">
      <alignment vertical="center"/>
    </xf>
    <xf numFmtId="0" fontId="62" fillId="0" borderId="0" xfId="0" applyFont="1">
      <alignment vertical="center"/>
    </xf>
    <xf numFmtId="0" fontId="62" fillId="0" borderId="47" xfId="0" applyFont="1" applyBorder="1">
      <alignment vertical="center"/>
    </xf>
    <xf numFmtId="0" fontId="62" fillId="0" borderId="46" xfId="0" applyFont="1" applyBorder="1">
      <alignment vertical="center"/>
    </xf>
    <xf numFmtId="0" fontId="62" fillId="0" borderId="45" xfId="0" applyFont="1" applyBorder="1">
      <alignment vertical="center"/>
    </xf>
    <xf numFmtId="0" fontId="62" fillId="0" borderId="44" xfId="0" applyFont="1" applyBorder="1">
      <alignment vertical="center"/>
    </xf>
    <xf numFmtId="0" fontId="21" fillId="0" borderId="0" xfId="0" applyFont="1" applyAlignment="1">
      <alignment horizontal="center" vertical="center"/>
    </xf>
    <xf numFmtId="0" fontId="24" fillId="5" borderId="1" xfId="0" applyFont="1" applyFill="1" applyBorder="1" applyAlignment="1">
      <alignment horizontal="center" vertical="center" wrapText="1"/>
    </xf>
    <xf numFmtId="0" fontId="24" fillId="5" borderId="1" xfId="0" applyFont="1" applyFill="1" applyBorder="1" applyAlignment="1">
      <alignment horizontal="center" vertical="center"/>
    </xf>
    <xf numFmtId="0" fontId="40" fillId="0" borderId="0" xfId="0" applyFont="1" applyAlignment="1">
      <alignment horizontal="left" vertical="center"/>
    </xf>
    <xf numFmtId="0" fontId="15" fillId="0" borderId="4" xfId="0" applyFont="1" applyBorder="1" applyAlignment="1">
      <alignment horizontal="center" vertical="center" wrapText="1" shrinkToFit="1"/>
    </xf>
    <xf numFmtId="0" fontId="15" fillId="0" borderId="3" xfId="0" applyFont="1" applyBorder="1" applyAlignment="1">
      <alignment horizontal="center" vertical="center" wrapText="1" shrinkToFit="1"/>
    </xf>
    <xf numFmtId="0" fontId="24" fillId="5" borderId="4" xfId="0" applyFont="1" applyFill="1" applyBorder="1" applyAlignment="1">
      <alignment horizontal="center" vertical="center"/>
    </xf>
    <xf numFmtId="0" fontId="24" fillId="5" borderId="3" xfId="0" applyFont="1" applyFill="1" applyBorder="1" applyAlignment="1">
      <alignment horizontal="center" vertical="center"/>
    </xf>
    <xf numFmtId="0" fontId="13" fillId="0" borderId="0" xfId="0" applyFont="1" applyAlignment="1">
      <alignment horizontal="center"/>
    </xf>
    <xf numFmtId="0" fontId="13" fillId="0" borderId="2" xfId="0" applyFont="1" applyBorder="1" applyAlignment="1">
      <alignment horizontal="center"/>
    </xf>
    <xf numFmtId="0" fontId="9" fillId="0" borderId="0" xfId="0" applyFont="1" applyAlignment="1">
      <alignment horizontal="center" vertical="center"/>
    </xf>
    <xf numFmtId="0" fontId="15" fillId="0" borderId="11" xfId="0" applyFont="1" applyBorder="1" applyAlignment="1" applyProtection="1">
      <alignment horizontal="left" vertical="center" wrapText="1" shrinkToFit="1"/>
      <protection locked="0"/>
    </xf>
    <xf numFmtId="0" fontId="15" fillId="0" borderId="0" xfId="0" applyFont="1" applyAlignment="1" applyProtection="1">
      <alignment horizontal="left" vertical="center" wrapText="1" shrinkToFit="1"/>
      <protection locked="0"/>
    </xf>
    <xf numFmtId="0" fontId="15" fillId="0" borderId="12" xfId="0" applyFont="1" applyBorder="1" applyAlignment="1" applyProtection="1">
      <alignment horizontal="left" vertical="center" wrapText="1" shrinkToFit="1"/>
      <protection locked="0"/>
    </xf>
    <xf numFmtId="0" fontId="15" fillId="0" borderId="7" xfId="0" applyFont="1" applyBorder="1" applyAlignment="1" applyProtection="1">
      <alignment horizontal="left" vertical="center" wrapText="1" shrinkToFit="1"/>
      <protection locked="0"/>
    </xf>
    <xf numFmtId="0" fontId="15" fillId="0" borderId="2" xfId="0" applyFont="1" applyBorder="1" applyAlignment="1" applyProtection="1">
      <alignment horizontal="left" vertical="center" wrapText="1" shrinkToFit="1"/>
      <protection locked="0"/>
    </xf>
    <xf numFmtId="0" fontId="15" fillId="0" borderId="5" xfId="0" applyFont="1" applyBorder="1" applyAlignment="1" applyProtection="1">
      <alignment horizontal="left" vertical="center" wrapText="1" shrinkToFit="1"/>
      <protection locked="0"/>
    </xf>
    <xf numFmtId="0" fontId="9" fillId="0" borderId="0" xfId="0" applyFont="1" applyAlignment="1">
      <alignment horizontal="center" vertical="center" shrinkToFit="1"/>
    </xf>
    <xf numFmtId="0" fontId="9" fillId="0" borderId="0" xfId="0" applyFont="1" applyAlignment="1">
      <alignment horizontal="right" vertical="center" shrinkToFit="1"/>
    </xf>
  </cellXfs>
  <cellStyles count="5">
    <cellStyle name="桁区切り" xfId="1" builtinId="6"/>
    <cellStyle name="標準" xfId="0" builtinId="0"/>
    <cellStyle name="標準 2" xfId="2" xr:uid="{19A02DB5-F83B-4404-B4E6-492545AD89D9}"/>
    <cellStyle name="標準 2 2" xfId="4" xr:uid="{38D32840-6923-4CB9-8940-7D6E753FF1B8}"/>
    <cellStyle name="標準 3" xfId="3" xr:uid="{8628AE9D-A50B-4D57-8319-CF5DE6F3777B}"/>
  </cellStyles>
  <dxfs count="31">
    <dxf>
      <fill>
        <patternFill>
          <bgColor rgb="FFFFFF00"/>
        </patternFill>
      </fill>
    </dxf>
    <dxf>
      <fill>
        <patternFill>
          <bgColor rgb="FFFFFF00"/>
        </patternFill>
      </fill>
    </dxf>
    <dxf>
      <fill>
        <patternFill>
          <bgColor rgb="FFFFFF00"/>
        </patternFill>
      </fill>
    </dxf>
    <dxf>
      <fill>
        <patternFill>
          <bgColor rgb="FFFFFF00"/>
        </patternFill>
      </fill>
    </dxf>
    <dxf>
      <font>
        <b val="0"/>
        <i val="0"/>
        <strike val="0"/>
        <condense val="0"/>
        <extend val="0"/>
        <outline val="0"/>
        <shadow val="0"/>
        <u val="none"/>
        <vertAlign val="baseline"/>
        <sz val="11"/>
        <color theme="1"/>
        <name val="メイリオ"/>
        <family val="3"/>
        <charset val="128"/>
        <scheme val="none"/>
      </font>
      <numFmt numFmtId="30" formatCode="@"/>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メイリオ"/>
        <family val="3"/>
        <charset val="128"/>
        <scheme val="none"/>
      </font>
      <protection locked="0" hidden="0"/>
    </dxf>
    <dxf>
      <border outline="0">
        <bottom style="thin">
          <color indexed="64"/>
        </bottom>
      </border>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メイリオ"/>
        <family val="3"/>
        <charset val="128"/>
        <scheme val="none"/>
      </font>
      <alignment horizontal="general" vertical="center" textRotation="0" wrapText="0" indent="0" justifyLastLine="0" shrinkToFit="0" readingOrder="0"/>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numFmt numFmtId="0" formatCode="General"/>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numFmt numFmtId="176" formatCode="[$]ggge&quot;年&quot;m&quot;月&quot;d&quot;日&quot;;@" x16r2:formatCode16="[$-ja-JP-x-gannen]ggge&quot;年&quot;m&quot;月&quot;d&quot;日&quo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numFmt numFmtId="176" formatCode="[$]ggge&quot;年&quot;m&quot;月&quot;d&quot;日&quot;;@" x16r2:formatCode16="[$-ja-JP-x-gannen]ggge&quot;年&quot;m&quot;月&quot;d&quot;日&quo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メイリオ"/>
        <family val="3"/>
        <charset val="128"/>
        <scheme val="none"/>
      </font>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1"/>
        <color theme="1"/>
        <name val="メイリオ"/>
        <family val="3"/>
        <charset val="128"/>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DEB9D"/>
      <color rgb="FFEBEB9D"/>
      <color rgb="FFFEF4CE"/>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checked="Checked" fmlaLink="$I$9" lockText="1" noThreeD="1"/>
</file>

<file path=xl/ctrlProps/ctrlProp2.xml><?xml version="1.0" encoding="utf-8"?>
<formControlPr xmlns="http://schemas.microsoft.com/office/spreadsheetml/2009/9/main" objectType="CheckBox" checked="Checked" fmlaLink="$I$10" lockText="1" noThreeD="1"/>
</file>

<file path=xl/ctrlProps/ctrlProp3.xml><?xml version="1.0" encoding="utf-8"?>
<formControlPr xmlns="http://schemas.microsoft.com/office/spreadsheetml/2009/9/main" objectType="CheckBox" checked="Checked" fmlaLink="$I$11" lockText="1" noThreeD="1"/>
</file>

<file path=xl/ctrlProps/ctrlProp4.xml><?xml version="1.0" encoding="utf-8"?>
<formControlPr xmlns="http://schemas.microsoft.com/office/spreadsheetml/2009/9/main" objectType="CheckBox" checked="Checked" fmlaLink="$I$12" lockText="1" noThreeD="1"/>
</file>

<file path=xl/ctrlProps/ctrlProp5.xml><?xml version="1.0" encoding="utf-8"?>
<formControlPr xmlns="http://schemas.microsoft.com/office/spreadsheetml/2009/9/main" objectType="CheckBox" checked="Checked" fmlaLink="$I$13" lockText="1" noThreeD="1"/>
</file>

<file path=xl/ctrlProps/ctrlProp6.xml><?xml version="1.0" encoding="utf-8"?>
<formControlPr xmlns="http://schemas.microsoft.com/office/spreadsheetml/2009/9/main" objectType="CheckBox" checked="Checked" fmlaLink="$I$14" lockText="1" noThreeD="1"/>
</file>

<file path=xl/ctrlProps/ctrlProp7.xml><?xml version="1.0" encoding="utf-8"?>
<formControlPr xmlns="http://schemas.microsoft.com/office/spreadsheetml/2009/9/main" objectType="CheckBox" checked="Checked" fmlaLink="$I$15" lockText="1" noThreeD="1"/>
</file>

<file path=xl/ctrlProps/ctrlProp8.xml><?xml version="1.0" encoding="utf-8"?>
<formControlPr xmlns="http://schemas.microsoft.com/office/spreadsheetml/2009/9/main" objectType="CheckBox" fmlaLink="$I$16" lockText="1" noThreeD="1"/>
</file>

<file path=xl/ctrlProps/ctrlProp9.xml><?xml version="1.0" encoding="utf-8"?>
<formControlPr xmlns="http://schemas.microsoft.com/office/spreadsheetml/2009/9/main" objectType="CheckBox" fmlaLink="$I$17" lockText="1" noThreeD="1"/>
</file>

<file path=xl/ctrlProps/ctrlProp10.xml><?xml version="1.0" encoding="utf-8"?>
<formControlPr xmlns="http://schemas.microsoft.com/office/spreadsheetml/2009/9/main" objectType="CheckBox" fmlaLink="$I$18" lockText="1" noThreeD="1"/>
</file>

<file path=xl/ctrlProps/ctrlProp11.xml><?xml version="1.0" encoding="utf-8"?>
<formControlPr xmlns="http://schemas.microsoft.com/office/spreadsheetml/2009/9/main" objectType="CheckBox" fmlaLink="$I$19" lockText="1" noThreeD="1"/>
</file>

<file path=xl/ctrlProps/ctrlProp12.xml><?xml version="1.0" encoding="utf-8"?>
<formControlPr xmlns="http://schemas.microsoft.com/office/spreadsheetml/2009/9/main" objectType="CheckBox" checked="Checked" fmlaLink="$I$9" lockText="1" noThreeD="1"/>
</file>

<file path=xl/ctrlProps/ctrlProp13.xml><?xml version="1.0" encoding="utf-8"?>
<formControlPr xmlns="http://schemas.microsoft.com/office/spreadsheetml/2009/9/main" objectType="CheckBox" checked="Checked" fmlaLink="$I$10" lockText="1" noThreeD="1"/>
</file>

<file path=xl/ctrlProps/ctrlProp14.xml><?xml version="1.0" encoding="utf-8"?>
<formControlPr xmlns="http://schemas.microsoft.com/office/spreadsheetml/2009/9/main" objectType="CheckBox" checked="Checked" fmlaLink="$I$11" lockText="1" noThreeD="1"/>
</file>

<file path=xl/ctrlProps/ctrlProp15.xml><?xml version="1.0" encoding="utf-8"?>
<formControlPr xmlns="http://schemas.microsoft.com/office/spreadsheetml/2009/9/main" objectType="CheckBox" checked="Checked" fmlaLink="$I$12" lockText="1" noThreeD="1"/>
</file>

<file path=xl/ctrlProps/ctrlProp16.xml><?xml version="1.0" encoding="utf-8"?>
<formControlPr xmlns="http://schemas.microsoft.com/office/spreadsheetml/2009/9/main" objectType="CheckBox" checked="Checked" fmlaLink="$I$13" lockText="1" noThreeD="1"/>
</file>

<file path=xl/ctrlProps/ctrlProp17.xml><?xml version="1.0" encoding="utf-8"?>
<formControlPr xmlns="http://schemas.microsoft.com/office/spreadsheetml/2009/9/main" objectType="CheckBox" checked="Checked" fmlaLink="$I$14" lockText="1" noThreeD="1"/>
</file>

<file path=xl/ctrlProps/ctrlProp18.xml><?xml version="1.0" encoding="utf-8"?>
<formControlPr xmlns="http://schemas.microsoft.com/office/spreadsheetml/2009/9/main" objectType="CheckBox" checked="Checked" fmlaLink="$I$15" lockText="1" noThreeD="1"/>
</file>

<file path=xl/ctrlProps/ctrlProp19.xml><?xml version="1.0" encoding="utf-8"?>
<formControlPr xmlns="http://schemas.microsoft.com/office/spreadsheetml/2009/9/main" objectType="CheckBox" fmlaLink="$I$16" lockText="1" noThreeD="1"/>
</file>

<file path=xl/ctrlProps/ctrlProp20.xml><?xml version="1.0" encoding="utf-8"?>
<formControlPr xmlns="http://schemas.microsoft.com/office/spreadsheetml/2009/9/main" objectType="CheckBox" fmlaLink="$I$17" lockText="1" noThreeD="1"/>
</file>

<file path=xl/ctrlProps/ctrlProp21.xml><?xml version="1.0" encoding="utf-8"?>
<formControlPr xmlns="http://schemas.microsoft.com/office/spreadsheetml/2009/9/main" objectType="CheckBox" fmlaLink="$I$18" lockText="1" noThreeD="1"/>
</file>

<file path=xl/ctrlProps/ctrlProp22.xml><?xml version="1.0" encoding="utf-8"?>
<formControlPr xmlns="http://schemas.microsoft.com/office/spreadsheetml/2009/9/main" objectType="CheckBox" fmlaLink="$I$19" lockText="1" noThreeD="1"/>
</file>

<file path=xl/ctrlProps/ctrlProp23.xml><?xml version="1.0" encoding="utf-8"?>
<formControlPr xmlns="http://schemas.microsoft.com/office/spreadsheetml/2009/9/main" objectType="CheckBox" checked="Checked" fmlaLink="$I$9" lockText="1" noThreeD="1"/>
</file>

<file path=xl/ctrlProps/ctrlProp24.xml><?xml version="1.0" encoding="utf-8"?>
<formControlPr xmlns="http://schemas.microsoft.com/office/spreadsheetml/2009/9/main" objectType="CheckBox" checked="Checked" fmlaLink="$I$10" lockText="1" noThreeD="1"/>
</file>

<file path=xl/ctrlProps/ctrlProp25.xml><?xml version="1.0" encoding="utf-8"?>
<formControlPr xmlns="http://schemas.microsoft.com/office/spreadsheetml/2009/9/main" objectType="CheckBox" checked="Checked" fmlaLink="$I$11" lockText="1" noThreeD="1"/>
</file>

<file path=xl/ctrlProps/ctrlProp26.xml><?xml version="1.0" encoding="utf-8"?>
<formControlPr xmlns="http://schemas.microsoft.com/office/spreadsheetml/2009/9/main" objectType="CheckBox" checked="Checked" fmlaLink="$I$12" lockText="1" noThreeD="1"/>
</file>

<file path=xl/ctrlProps/ctrlProp27.xml><?xml version="1.0" encoding="utf-8"?>
<formControlPr xmlns="http://schemas.microsoft.com/office/spreadsheetml/2009/9/main" objectType="CheckBox" checked="Checked" fmlaLink="$I$13" lockText="1" noThreeD="1"/>
</file>

<file path=xl/ctrlProps/ctrlProp28.xml><?xml version="1.0" encoding="utf-8"?>
<formControlPr xmlns="http://schemas.microsoft.com/office/spreadsheetml/2009/9/main" objectType="CheckBox" checked="Checked" fmlaLink="$I$14" lockText="1" noThreeD="1"/>
</file>

<file path=xl/ctrlProps/ctrlProp29.xml><?xml version="1.0" encoding="utf-8"?>
<formControlPr xmlns="http://schemas.microsoft.com/office/spreadsheetml/2009/9/main" objectType="CheckBox" checked="Checked" fmlaLink="$I$15" lockText="1" noThreeD="1"/>
</file>

<file path=xl/ctrlProps/ctrlProp30.xml><?xml version="1.0" encoding="utf-8"?>
<formControlPr xmlns="http://schemas.microsoft.com/office/spreadsheetml/2009/9/main" objectType="CheckBox" fmlaLink="$I$16" lockText="1" noThreeD="1"/>
</file>

<file path=xl/ctrlProps/ctrlProp31.xml><?xml version="1.0" encoding="utf-8"?>
<formControlPr xmlns="http://schemas.microsoft.com/office/spreadsheetml/2009/9/main" objectType="CheckBox" fmlaLink="$I$17" lockText="1" noThreeD="1"/>
</file>

<file path=xl/ctrlProps/ctrlProp32.xml><?xml version="1.0" encoding="utf-8"?>
<formControlPr xmlns="http://schemas.microsoft.com/office/spreadsheetml/2009/9/main" objectType="CheckBox" fmlaLink="$I$18" lockText="1" noThreeD="1"/>
</file>

<file path=xl/ctrlProps/ctrlProp33.xml><?xml version="1.0" encoding="utf-8"?>
<formControlPr xmlns="http://schemas.microsoft.com/office/spreadsheetml/2009/9/main" objectType="CheckBox" fmlaLink="$I$19" lockText="1" noThreeD="1"/>
</file>

<file path=xl/ctrlProps/ctrlProp34.xml><?xml version="1.0" encoding="utf-8"?>
<formControlPr xmlns="http://schemas.microsoft.com/office/spreadsheetml/2009/9/main" objectType="CheckBox" checked="Checked" fmlaLink="$I$9" lockText="1" noThreeD="1"/>
</file>

<file path=xl/ctrlProps/ctrlProp35.xml><?xml version="1.0" encoding="utf-8"?>
<formControlPr xmlns="http://schemas.microsoft.com/office/spreadsheetml/2009/9/main" objectType="CheckBox" checked="Checked" fmlaLink="$I$10" lockText="1" noThreeD="1"/>
</file>

<file path=xl/ctrlProps/ctrlProp36.xml><?xml version="1.0" encoding="utf-8"?>
<formControlPr xmlns="http://schemas.microsoft.com/office/spreadsheetml/2009/9/main" objectType="CheckBox" checked="Checked" fmlaLink="$I$11" lockText="1" noThreeD="1"/>
</file>

<file path=xl/ctrlProps/ctrlProp37.xml><?xml version="1.0" encoding="utf-8"?>
<formControlPr xmlns="http://schemas.microsoft.com/office/spreadsheetml/2009/9/main" objectType="CheckBox" checked="Checked" fmlaLink="$I$12" lockText="1" noThreeD="1"/>
</file>

<file path=xl/ctrlProps/ctrlProp38.xml><?xml version="1.0" encoding="utf-8"?>
<formControlPr xmlns="http://schemas.microsoft.com/office/spreadsheetml/2009/9/main" objectType="CheckBox" checked="Checked" fmlaLink="$I$13" lockText="1" noThreeD="1"/>
</file>

<file path=xl/ctrlProps/ctrlProp39.xml><?xml version="1.0" encoding="utf-8"?>
<formControlPr xmlns="http://schemas.microsoft.com/office/spreadsheetml/2009/9/main" objectType="CheckBox" checked="Checked" fmlaLink="$I$14" lockText="1" noThreeD="1"/>
</file>

<file path=xl/ctrlProps/ctrlProp40.xml><?xml version="1.0" encoding="utf-8"?>
<formControlPr xmlns="http://schemas.microsoft.com/office/spreadsheetml/2009/9/main" objectType="CheckBox" checked="Checked" fmlaLink="$I$15" lockText="1" noThreeD="1"/>
</file>

<file path=xl/ctrlProps/ctrlProp41.xml><?xml version="1.0" encoding="utf-8"?>
<formControlPr xmlns="http://schemas.microsoft.com/office/spreadsheetml/2009/9/main" objectType="CheckBox" fmlaLink="$I$16" lockText="1" noThreeD="1"/>
</file>

<file path=xl/ctrlProps/ctrlProp42.xml><?xml version="1.0" encoding="utf-8"?>
<formControlPr xmlns="http://schemas.microsoft.com/office/spreadsheetml/2009/9/main" objectType="CheckBox" fmlaLink="$I$17" lockText="1" noThreeD="1"/>
</file>

<file path=xl/ctrlProps/ctrlProp43.xml><?xml version="1.0" encoding="utf-8"?>
<formControlPr xmlns="http://schemas.microsoft.com/office/spreadsheetml/2009/9/main" objectType="CheckBox" fmlaLink="$I$18" lockText="1" noThreeD="1"/>
</file>

<file path=xl/ctrlProps/ctrlProp44.xml><?xml version="1.0" encoding="utf-8"?>
<formControlPr xmlns="http://schemas.microsoft.com/office/spreadsheetml/2009/9/main" objectType="CheckBox" fmlaLink="$I$19"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990600</xdr:colOff>
          <xdr:row>9</xdr:row>
          <xdr:rowOff>38100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1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990600</xdr:colOff>
          <xdr:row>10</xdr:row>
          <xdr:rowOff>38100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1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990600</xdr:colOff>
          <xdr:row>11</xdr:row>
          <xdr:rowOff>38100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1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990600</xdr:colOff>
          <xdr:row>12</xdr:row>
          <xdr:rowOff>38100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1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990600</xdr:colOff>
          <xdr:row>13</xdr:row>
          <xdr:rowOff>38100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1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990600</xdr:colOff>
          <xdr:row>14</xdr:row>
          <xdr:rowOff>38100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1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990600</xdr:colOff>
          <xdr:row>15</xdr:row>
          <xdr:rowOff>38100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1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990600</xdr:colOff>
          <xdr:row>16</xdr:row>
          <xdr:rowOff>38100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1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990600</xdr:colOff>
          <xdr:row>17</xdr:row>
          <xdr:rowOff>38100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1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990600</xdr:colOff>
          <xdr:row>18</xdr:row>
          <xdr:rowOff>38100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1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990600</xdr:colOff>
          <xdr:row>19</xdr:row>
          <xdr:rowOff>38100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1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990600</xdr:colOff>
          <xdr:row>9</xdr:row>
          <xdr:rowOff>38100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1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990600</xdr:colOff>
          <xdr:row>10</xdr:row>
          <xdr:rowOff>38100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1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990600</xdr:colOff>
          <xdr:row>11</xdr:row>
          <xdr:rowOff>38100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1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990600</xdr:colOff>
          <xdr:row>12</xdr:row>
          <xdr:rowOff>38100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1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990600</xdr:colOff>
          <xdr:row>13</xdr:row>
          <xdr:rowOff>38100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1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990600</xdr:colOff>
          <xdr:row>14</xdr:row>
          <xdr:rowOff>38100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1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990600</xdr:colOff>
          <xdr:row>15</xdr:row>
          <xdr:rowOff>38100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1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990600</xdr:colOff>
          <xdr:row>16</xdr:row>
          <xdr:rowOff>38100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1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990600</xdr:colOff>
          <xdr:row>17</xdr:row>
          <xdr:rowOff>38100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1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990600</xdr:colOff>
          <xdr:row>18</xdr:row>
          <xdr:rowOff>38100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1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990600</xdr:colOff>
          <xdr:row>19</xdr:row>
          <xdr:rowOff>38100</xdr:rowOff>
        </xdr:to>
        <xdr:sp macro="" textlink="">
          <xdr:nvSpPr>
            <xdr:cNvPr id="5144" name="Check Box 24" hidden="1">
              <a:extLst>
                <a:ext uri="{63B3BB69-23CF-44E3-9099-C40C66FF867C}">
                  <a14:compatExt spid="_x0000_s5144"/>
                </a:ext>
                <a:ext uri="{FF2B5EF4-FFF2-40B4-BE49-F238E27FC236}">
                  <a16:creationId xmlns:a16="http://schemas.microsoft.com/office/drawing/2014/main" id="{00000000-0008-0000-0100-00001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990600</xdr:colOff>
          <xdr:row>9</xdr:row>
          <xdr:rowOff>38100</xdr:rowOff>
        </xdr:to>
        <xdr:sp macro="" textlink="">
          <xdr:nvSpPr>
            <xdr:cNvPr id="5150" name="Check Box 30" hidden="1">
              <a:extLst>
                <a:ext uri="{63B3BB69-23CF-44E3-9099-C40C66FF867C}">
                  <a14:compatExt spid="_x0000_s5150"/>
                </a:ext>
                <a:ext uri="{FF2B5EF4-FFF2-40B4-BE49-F238E27FC236}">
                  <a16:creationId xmlns:a16="http://schemas.microsoft.com/office/drawing/2014/main" id="{00000000-0008-0000-0100-00001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990600</xdr:colOff>
          <xdr:row>10</xdr:row>
          <xdr:rowOff>38100</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01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990600</xdr:colOff>
          <xdr:row>11</xdr:row>
          <xdr:rowOff>38100</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01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990600</xdr:colOff>
          <xdr:row>12</xdr:row>
          <xdr:rowOff>38100</xdr:rowOff>
        </xdr:to>
        <xdr:sp macro="" textlink="">
          <xdr:nvSpPr>
            <xdr:cNvPr id="5153" name="Check Box 33" hidden="1">
              <a:extLst>
                <a:ext uri="{63B3BB69-23CF-44E3-9099-C40C66FF867C}">
                  <a14:compatExt spid="_x0000_s5153"/>
                </a:ext>
                <a:ext uri="{FF2B5EF4-FFF2-40B4-BE49-F238E27FC236}">
                  <a16:creationId xmlns:a16="http://schemas.microsoft.com/office/drawing/2014/main" id="{00000000-0008-0000-0100-00002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990600</xdr:colOff>
          <xdr:row>13</xdr:row>
          <xdr:rowOff>38100</xdr:rowOff>
        </xdr:to>
        <xdr:sp macro="" textlink="">
          <xdr:nvSpPr>
            <xdr:cNvPr id="5154" name="Check Box 34" hidden="1">
              <a:extLst>
                <a:ext uri="{63B3BB69-23CF-44E3-9099-C40C66FF867C}">
                  <a14:compatExt spid="_x0000_s5154"/>
                </a:ext>
                <a:ext uri="{FF2B5EF4-FFF2-40B4-BE49-F238E27FC236}">
                  <a16:creationId xmlns:a16="http://schemas.microsoft.com/office/drawing/2014/main" id="{00000000-0008-0000-0100-00002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990600</xdr:colOff>
          <xdr:row>14</xdr:row>
          <xdr:rowOff>38100</xdr:rowOff>
        </xdr:to>
        <xdr:sp macro="" textlink="">
          <xdr:nvSpPr>
            <xdr:cNvPr id="5155" name="Check Box 35" hidden="1">
              <a:extLst>
                <a:ext uri="{63B3BB69-23CF-44E3-9099-C40C66FF867C}">
                  <a14:compatExt spid="_x0000_s5155"/>
                </a:ext>
                <a:ext uri="{FF2B5EF4-FFF2-40B4-BE49-F238E27FC236}">
                  <a16:creationId xmlns:a16="http://schemas.microsoft.com/office/drawing/2014/main" id="{00000000-0008-0000-0100-00002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990600</xdr:colOff>
          <xdr:row>15</xdr:row>
          <xdr:rowOff>38100</xdr:rowOff>
        </xdr:to>
        <xdr:sp macro="" textlink="">
          <xdr:nvSpPr>
            <xdr:cNvPr id="5156" name="Check Box 36" hidden="1">
              <a:extLst>
                <a:ext uri="{63B3BB69-23CF-44E3-9099-C40C66FF867C}">
                  <a14:compatExt spid="_x0000_s5156"/>
                </a:ext>
                <a:ext uri="{FF2B5EF4-FFF2-40B4-BE49-F238E27FC236}">
                  <a16:creationId xmlns:a16="http://schemas.microsoft.com/office/drawing/2014/main" id="{00000000-0008-0000-01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990600</xdr:colOff>
          <xdr:row>16</xdr:row>
          <xdr:rowOff>38100</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01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990600</xdr:colOff>
          <xdr:row>17</xdr:row>
          <xdr:rowOff>38100</xdr:rowOff>
        </xdr:to>
        <xdr:sp macro="" textlink="">
          <xdr:nvSpPr>
            <xdr:cNvPr id="5158" name="Check Box 38" hidden="1">
              <a:extLst>
                <a:ext uri="{63B3BB69-23CF-44E3-9099-C40C66FF867C}">
                  <a14:compatExt spid="_x0000_s5158"/>
                </a:ext>
                <a:ext uri="{FF2B5EF4-FFF2-40B4-BE49-F238E27FC236}">
                  <a16:creationId xmlns:a16="http://schemas.microsoft.com/office/drawing/2014/main" id="{00000000-0008-0000-0100-00002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990600</xdr:colOff>
          <xdr:row>18</xdr:row>
          <xdr:rowOff>38100</xdr:rowOff>
        </xdr:to>
        <xdr:sp macro="" textlink="">
          <xdr:nvSpPr>
            <xdr:cNvPr id="5159" name="Check Box 39" hidden="1">
              <a:extLst>
                <a:ext uri="{63B3BB69-23CF-44E3-9099-C40C66FF867C}">
                  <a14:compatExt spid="_x0000_s5159"/>
                </a:ext>
                <a:ext uri="{FF2B5EF4-FFF2-40B4-BE49-F238E27FC236}">
                  <a16:creationId xmlns:a16="http://schemas.microsoft.com/office/drawing/2014/main" id="{00000000-0008-0000-0100-00002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990600</xdr:colOff>
          <xdr:row>19</xdr:row>
          <xdr:rowOff>38100</xdr:rowOff>
        </xdr:to>
        <xdr:sp macro="" textlink="">
          <xdr:nvSpPr>
            <xdr:cNvPr id="5160" name="Check Box 40" hidden="1">
              <a:extLst>
                <a:ext uri="{63B3BB69-23CF-44E3-9099-C40C66FF867C}">
                  <a14:compatExt spid="_x0000_s5160"/>
                </a:ext>
                <a:ext uri="{FF2B5EF4-FFF2-40B4-BE49-F238E27FC236}">
                  <a16:creationId xmlns:a16="http://schemas.microsoft.com/office/drawing/2014/main" id="{00000000-0008-0000-0100-00002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990600</xdr:colOff>
          <xdr:row>9</xdr:row>
          <xdr:rowOff>38100</xdr:rowOff>
        </xdr:to>
        <xdr:sp macro="" textlink="">
          <xdr:nvSpPr>
            <xdr:cNvPr id="5167" name="Check Box 47" hidden="1">
              <a:extLst>
                <a:ext uri="{63B3BB69-23CF-44E3-9099-C40C66FF867C}">
                  <a14:compatExt spid="_x0000_s5167"/>
                </a:ext>
                <a:ext uri="{FF2B5EF4-FFF2-40B4-BE49-F238E27FC236}">
                  <a16:creationId xmlns:a16="http://schemas.microsoft.com/office/drawing/2014/main" id="{00000000-0008-0000-0100-00002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990600</xdr:colOff>
          <xdr:row>10</xdr:row>
          <xdr:rowOff>38100</xdr:rowOff>
        </xdr:to>
        <xdr:sp macro="" textlink="">
          <xdr:nvSpPr>
            <xdr:cNvPr id="5168" name="Check Box 48" hidden="1">
              <a:extLst>
                <a:ext uri="{63B3BB69-23CF-44E3-9099-C40C66FF867C}">
                  <a14:compatExt spid="_x0000_s5168"/>
                </a:ext>
                <a:ext uri="{FF2B5EF4-FFF2-40B4-BE49-F238E27FC236}">
                  <a16:creationId xmlns:a16="http://schemas.microsoft.com/office/drawing/2014/main" id="{00000000-0008-0000-0100-00003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990600</xdr:colOff>
          <xdr:row>11</xdr:row>
          <xdr:rowOff>38100</xdr:rowOff>
        </xdr:to>
        <xdr:sp macro="" textlink="">
          <xdr:nvSpPr>
            <xdr:cNvPr id="5169" name="Check Box 49" hidden="1">
              <a:extLst>
                <a:ext uri="{63B3BB69-23CF-44E3-9099-C40C66FF867C}">
                  <a14:compatExt spid="_x0000_s5169"/>
                </a:ext>
                <a:ext uri="{FF2B5EF4-FFF2-40B4-BE49-F238E27FC236}">
                  <a16:creationId xmlns:a16="http://schemas.microsoft.com/office/drawing/2014/main" id="{00000000-0008-0000-0100-00003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990600</xdr:colOff>
          <xdr:row>12</xdr:row>
          <xdr:rowOff>38100</xdr:rowOff>
        </xdr:to>
        <xdr:sp macro="" textlink="">
          <xdr:nvSpPr>
            <xdr:cNvPr id="5170" name="Check Box 50" hidden="1">
              <a:extLst>
                <a:ext uri="{63B3BB69-23CF-44E3-9099-C40C66FF867C}">
                  <a14:compatExt spid="_x0000_s5170"/>
                </a:ext>
                <a:ext uri="{FF2B5EF4-FFF2-40B4-BE49-F238E27FC236}">
                  <a16:creationId xmlns:a16="http://schemas.microsoft.com/office/drawing/2014/main" id="{00000000-0008-0000-0100-00003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990600</xdr:colOff>
          <xdr:row>13</xdr:row>
          <xdr:rowOff>38100</xdr:rowOff>
        </xdr:to>
        <xdr:sp macro="" textlink="">
          <xdr:nvSpPr>
            <xdr:cNvPr id="5171" name="Check Box 51" hidden="1">
              <a:extLst>
                <a:ext uri="{63B3BB69-23CF-44E3-9099-C40C66FF867C}">
                  <a14:compatExt spid="_x0000_s5171"/>
                </a:ext>
                <a:ext uri="{FF2B5EF4-FFF2-40B4-BE49-F238E27FC236}">
                  <a16:creationId xmlns:a16="http://schemas.microsoft.com/office/drawing/2014/main" id="{00000000-0008-0000-0100-00003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990600</xdr:colOff>
          <xdr:row>14</xdr:row>
          <xdr:rowOff>38100</xdr:rowOff>
        </xdr:to>
        <xdr:sp macro="" textlink="">
          <xdr:nvSpPr>
            <xdr:cNvPr id="5172" name="Check Box 52" hidden="1">
              <a:extLst>
                <a:ext uri="{63B3BB69-23CF-44E3-9099-C40C66FF867C}">
                  <a14:compatExt spid="_x0000_s5172"/>
                </a:ext>
                <a:ext uri="{FF2B5EF4-FFF2-40B4-BE49-F238E27FC236}">
                  <a16:creationId xmlns:a16="http://schemas.microsoft.com/office/drawing/2014/main" id="{00000000-0008-0000-0100-00003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990600</xdr:colOff>
          <xdr:row>15</xdr:row>
          <xdr:rowOff>38100</xdr:rowOff>
        </xdr:to>
        <xdr:sp macro="" textlink="">
          <xdr:nvSpPr>
            <xdr:cNvPr id="5173" name="Check Box 53" hidden="1">
              <a:extLst>
                <a:ext uri="{63B3BB69-23CF-44E3-9099-C40C66FF867C}">
                  <a14:compatExt spid="_x0000_s5173"/>
                </a:ext>
                <a:ext uri="{FF2B5EF4-FFF2-40B4-BE49-F238E27FC236}">
                  <a16:creationId xmlns:a16="http://schemas.microsoft.com/office/drawing/2014/main" id="{00000000-0008-0000-0100-00003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990600</xdr:colOff>
          <xdr:row>16</xdr:row>
          <xdr:rowOff>38100</xdr:rowOff>
        </xdr:to>
        <xdr:sp macro="" textlink="">
          <xdr:nvSpPr>
            <xdr:cNvPr id="5174" name="Check Box 54" hidden="1">
              <a:extLst>
                <a:ext uri="{63B3BB69-23CF-44E3-9099-C40C66FF867C}">
                  <a14:compatExt spid="_x0000_s5174"/>
                </a:ext>
                <a:ext uri="{FF2B5EF4-FFF2-40B4-BE49-F238E27FC236}">
                  <a16:creationId xmlns:a16="http://schemas.microsoft.com/office/drawing/2014/main" id="{00000000-0008-0000-0100-00003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990600</xdr:colOff>
          <xdr:row>17</xdr:row>
          <xdr:rowOff>38100</xdr:rowOff>
        </xdr:to>
        <xdr:sp macro="" textlink="">
          <xdr:nvSpPr>
            <xdr:cNvPr id="5175" name="Check Box 55" hidden="1">
              <a:extLst>
                <a:ext uri="{63B3BB69-23CF-44E3-9099-C40C66FF867C}">
                  <a14:compatExt spid="_x0000_s5175"/>
                </a:ext>
                <a:ext uri="{FF2B5EF4-FFF2-40B4-BE49-F238E27FC236}">
                  <a16:creationId xmlns:a16="http://schemas.microsoft.com/office/drawing/2014/main" id="{00000000-0008-0000-01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990600</xdr:colOff>
          <xdr:row>18</xdr:row>
          <xdr:rowOff>38100</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01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990600</xdr:colOff>
          <xdr:row>19</xdr:row>
          <xdr:rowOff>38100</xdr:rowOff>
        </xdr:to>
        <xdr:sp macro="" textlink="">
          <xdr:nvSpPr>
            <xdr:cNvPr id="5177" name="Check Box 57" hidden="1">
              <a:extLst>
                <a:ext uri="{63B3BB69-23CF-44E3-9099-C40C66FF867C}">
                  <a14:compatExt spid="_x0000_s5177"/>
                </a:ext>
                <a:ext uri="{FF2B5EF4-FFF2-40B4-BE49-F238E27FC236}">
                  <a16:creationId xmlns:a16="http://schemas.microsoft.com/office/drawing/2014/main" id="{00000000-0008-0000-0100-00003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6</xdr:col>
      <xdr:colOff>1931282</xdr:colOff>
      <xdr:row>3</xdr:row>
      <xdr:rowOff>45145</xdr:rowOff>
    </xdr:from>
    <xdr:to>
      <xdr:col>9</xdr:col>
      <xdr:colOff>354383</xdr:colOff>
      <xdr:row>5</xdr:row>
      <xdr:rowOff>115176</xdr:rowOff>
    </xdr:to>
    <xdr:pic>
      <xdr:nvPicPr>
        <xdr:cNvPr id="2" name="図 1" descr="ダイアグラム&#10;&#10;中程度の精度で自動的に生成された説明">
          <a:extLst>
            <a:ext uri="{FF2B5EF4-FFF2-40B4-BE49-F238E27FC236}">
              <a16:creationId xmlns:a16="http://schemas.microsoft.com/office/drawing/2014/main" id="{199CA5CE-0EE0-46D8-9325-4DED9F1525DE}"/>
            </a:ext>
          </a:extLst>
        </xdr:cNvPr>
        <xdr:cNvPicPr>
          <a:picLocks noChangeAspect="1"/>
        </xdr:cNvPicPr>
      </xdr:nvPicPr>
      <xdr:blipFill>
        <a:blip xmlns:r="http://schemas.openxmlformats.org/officeDocument/2006/relationships" r:embed="rId1"/>
        <a:stretch>
          <a:fillRect/>
        </a:stretch>
      </xdr:blipFill>
      <xdr:spPr>
        <a:xfrm>
          <a:off x="5214606" y="874380"/>
          <a:ext cx="2188277" cy="5406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19050</xdr:rowOff>
    </xdr:from>
    <xdr:to>
      <xdr:col>4</xdr:col>
      <xdr:colOff>38100</xdr:colOff>
      <xdr:row>1</xdr:row>
      <xdr:rowOff>257175</xdr:rowOff>
    </xdr:to>
    <xdr:sp macro="" textlink="">
      <xdr:nvSpPr>
        <xdr:cNvPr id="5122" name="Text Box 2">
          <a:extLst>
            <a:ext uri="{FF2B5EF4-FFF2-40B4-BE49-F238E27FC236}">
              <a16:creationId xmlns:a16="http://schemas.microsoft.com/office/drawing/2014/main" id="{00000000-0008-0000-0800-000002140000}"/>
            </a:ext>
          </a:extLst>
        </xdr:cNvPr>
        <xdr:cNvSpPr txBox="1">
          <a:spLocks noChangeArrowheads="1"/>
        </xdr:cNvSpPr>
      </xdr:nvSpPr>
      <xdr:spPr bwMode="auto">
        <a:xfrm>
          <a:off x="0" y="19050"/>
          <a:ext cx="1838325" cy="400050"/>
        </a:xfrm>
        <a:prstGeom prst="rect">
          <a:avLst/>
        </a:prstGeom>
        <a:solidFill>
          <a:srgbClr val="FFFFFF"/>
        </a:solidFill>
        <a:ln w="25400">
          <a:solidFill>
            <a:srgbClr val="FF0000"/>
          </a:solidFill>
          <a:miter lim="800000"/>
          <a:headEnd/>
          <a:tailEnd/>
        </a:ln>
      </xdr:spPr>
      <xdr:txBody>
        <a:bodyPr vertOverflow="clip" wrap="square" lIns="74295" tIns="8890" rIns="74295" bIns="8890" anchor="ctr" upright="1"/>
        <a:lstStyle/>
        <a:p>
          <a:pPr algn="ctr" rtl="0">
            <a:defRPr sz="1000"/>
          </a:pPr>
          <a:r>
            <a:rPr lang="ja-JP" altLang="en-US" sz="1050" b="1" i="0" u="none" strike="noStrike" baseline="0">
              <a:solidFill>
                <a:srgbClr val="FF0000"/>
              </a:solidFill>
              <a:latin typeface="ＭＳ ゴシック"/>
              <a:ea typeface="ＭＳ ゴシック"/>
            </a:rPr>
            <a:t>原本還付お願いします</a:t>
          </a:r>
          <a:endParaRPr lang="ja-JP" altLang="en-US" sz="1050" b="0" i="0" u="none" strike="noStrike" baseline="0">
            <a:solidFill>
              <a:srgbClr val="000000"/>
            </a:solidFill>
            <a:latin typeface="Century"/>
          </a:endParaRPr>
        </a:p>
      </xdr:txBody>
    </xdr:sp>
    <xdr:clientData/>
  </xdr:twoCellAnchor>
  <xdr:twoCellAnchor>
    <xdr:from>
      <xdr:col>7</xdr:col>
      <xdr:colOff>266701</xdr:colOff>
      <xdr:row>39</xdr:row>
      <xdr:rowOff>171445</xdr:rowOff>
    </xdr:from>
    <xdr:to>
      <xdr:col>10</xdr:col>
      <xdr:colOff>152400</xdr:colOff>
      <xdr:row>46</xdr:row>
      <xdr:rowOff>6763</xdr:rowOff>
    </xdr:to>
    <xdr:grpSp>
      <xdr:nvGrpSpPr>
        <xdr:cNvPr id="7" name="グループ化 6">
          <a:extLst>
            <a:ext uri="{FF2B5EF4-FFF2-40B4-BE49-F238E27FC236}">
              <a16:creationId xmlns:a16="http://schemas.microsoft.com/office/drawing/2014/main" id="{00000000-0008-0000-0800-000007000000}"/>
            </a:ext>
          </a:extLst>
        </xdr:cNvPr>
        <xdr:cNvGrpSpPr/>
      </xdr:nvGrpSpPr>
      <xdr:grpSpPr>
        <a:xfrm>
          <a:off x="4438651" y="8277220"/>
          <a:ext cx="1638299" cy="1083093"/>
          <a:chOff x="4958893" y="10704258"/>
          <a:chExt cx="2291330" cy="1479025"/>
        </a:xfrm>
      </xdr:grpSpPr>
      <xdr:sp macro="" textlink="">
        <xdr:nvSpPr>
          <xdr:cNvPr id="2" name="楕円 1">
            <a:extLst>
              <a:ext uri="{FF2B5EF4-FFF2-40B4-BE49-F238E27FC236}">
                <a16:creationId xmlns:a16="http://schemas.microsoft.com/office/drawing/2014/main" id="{00000000-0008-0000-0800-000002000000}"/>
              </a:ext>
            </a:extLst>
          </xdr:cNvPr>
          <xdr:cNvSpPr/>
        </xdr:nvSpPr>
        <xdr:spPr>
          <a:xfrm>
            <a:off x="4958893" y="10704258"/>
            <a:ext cx="1109490" cy="1059116"/>
          </a:xfrm>
          <a:prstGeom prst="ellipse">
            <a:avLst/>
          </a:prstGeom>
          <a:noFill/>
          <a:ln w="9525">
            <a:solidFill>
              <a:schemeClr val="bg2">
                <a:lumMod val="50000"/>
              </a:schemeClr>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楕円 2">
            <a:extLst>
              <a:ext uri="{FF2B5EF4-FFF2-40B4-BE49-F238E27FC236}">
                <a16:creationId xmlns:a16="http://schemas.microsoft.com/office/drawing/2014/main" id="{00000000-0008-0000-0800-000003000000}"/>
              </a:ext>
            </a:extLst>
          </xdr:cNvPr>
          <xdr:cNvSpPr/>
        </xdr:nvSpPr>
        <xdr:spPr>
          <a:xfrm>
            <a:off x="6140733" y="10704263"/>
            <a:ext cx="1109490" cy="1059116"/>
          </a:xfrm>
          <a:prstGeom prst="ellipse">
            <a:avLst/>
          </a:prstGeom>
          <a:noFill/>
          <a:ln w="9525">
            <a:solidFill>
              <a:schemeClr val="bg2">
                <a:lumMod val="50000"/>
              </a:schemeClr>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5241183" y="11734800"/>
            <a:ext cx="670972" cy="4484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solidFill>
                  <a:schemeClr val="bg2">
                    <a:lumMod val="75000"/>
                  </a:schemeClr>
                </a:solidFill>
              </a:rPr>
              <a:t>実印</a:t>
            </a:r>
          </a:p>
        </xdr:txBody>
      </xdr:sp>
      <xdr:sp macro="" textlink="">
        <xdr:nvSpPr>
          <xdr:cNvPr id="6" name="テキスト ボックス 5">
            <a:extLst>
              <a:ext uri="{FF2B5EF4-FFF2-40B4-BE49-F238E27FC236}">
                <a16:creationId xmlns:a16="http://schemas.microsoft.com/office/drawing/2014/main" id="{00000000-0008-0000-0800-000006000000}"/>
              </a:ext>
            </a:extLst>
          </xdr:cNvPr>
          <xdr:cNvSpPr txBox="1"/>
        </xdr:nvSpPr>
        <xdr:spPr>
          <a:xfrm>
            <a:off x="6423023" y="11734803"/>
            <a:ext cx="670972" cy="4484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solidFill>
                  <a:schemeClr val="bg2">
                    <a:lumMod val="75000"/>
                  </a:schemeClr>
                </a:solidFill>
              </a:rPr>
              <a:t>実印</a:t>
            </a:r>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3</xdr:col>
      <xdr:colOff>3362325</xdr:colOff>
      <xdr:row>12</xdr:row>
      <xdr:rowOff>247650</xdr:rowOff>
    </xdr:from>
    <xdr:ext cx="2108269" cy="306879"/>
    <xdr:sp macro="" textlink="">
      <xdr:nvSpPr>
        <xdr:cNvPr id="2" name="テキスト ボックス 1">
          <a:extLst>
            <a:ext uri="{FF2B5EF4-FFF2-40B4-BE49-F238E27FC236}">
              <a16:creationId xmlns:a16="http://schemas.microsoft.com/office/drawing/2014/main" id="{38BD1FAA-3F11-8933-BC43-2FD987FAF4BD}"/>
            </a:ext>
          </a:extLst>
        </xdr:cNvPr>
        <xdr:cNvSpPr txBox="1"/>
      </xdr:nvSpPr>
      <xdr:spPr>
        <a:xfrm>
          <a:off x="5105400" y="4743450"/>
          <a:ext cx="2108269" cy="306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kern="1200">
              <a:solidFill>
                <a:schemeClr val="bg2">
                  <a:lumMod val="50000"/>
                </a:schemeClr>
              </a:solidFill>
            </a:rPr>
            <a:t>※</a:t>
          </a:r>
          <a:r>
            <a:rPr kumimoji="1" lang="ja-JP" altLang="en-US" sz="1000" kern="1200">
              <a:solidFill>
                <a:schemeClr val="bg2">
                  <a:lumMod val="50000"/>
                </a:schemeClr>
              </a:solidFill>
            </a:rPr>
            <a:t>通帳見開きページの下方に記載</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3362325</xdr:colOff>
      <xdr:row>12</xdr:row>
      <xdr:rowOff>247650</xdr:rowOff>
    </xdr:from>
    <xdr:ext cx="2108269" cy="306879"/>
    <xdr:sp macro="" textlink="">
      <xdr:nvSpPr>
        <xdr:cNvPr id="2" name="テキスト ボックス 1">
          <a:extLst>
            <a:ext uri="{FF2B5EF4-FFF2-40B4-BE49-F238E27FC236}">
              <a16:creationId xmlns:a16="http://schemas.microsoft.com/office/drawing/2014/main" id="{9DE7D3FB-861A-4F71-A769-4AFEF02DBF3A}"/>
            </a:ext>
          </a:extLst>
        </xdr:cNvPr>
        <xdr:cNvSpPr txBox="1"/>
      </xdr:nvSpPr>
      <xdr:spPr>
        <a:xfrm>
          <a:off x="5857875" y="4743450"/>
          <a:ext cx="2108269" cy="306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kern="1200">
              <a:solidFill>
                <a:schemeClr val="bg2">
                  <a:lumMod val="50000"/>
                </a:schemeClr>
              </a:solidFill>
            </a:rPr>
            <a:t>※</a:t>
          </a:r>
          <a:r>
            <a:rPr kumimoji="1" lang="ja-JP" altLang="en-US" sz="1000" kern="1200">
              <a:solidFill>
                <a:schemeClr val="bg2">
                  <a:lumMod val="50000"/>
                </a:schemeClr>
              </a:solidFill>
            </a:rPr>
            <a:t>通帳見開きページの下方に記載</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17</xdr:col>
      <xdr:colOff>242547</xdr:colOff>
      <xdr:row>3</xdr:row>
      <xdr:rowOff>84366</xdr:rowOff>
    </xdr:from>
    <xdr:to>
      <xdr:col>25</xdr:col>
      <xdr:colOff>244294</xdr:colOff>
      <xdr:row>5</xdr:row>
      <xdr:rowOff>129905</xdr:rowOff>
    </xdr:to>
    <xdr:pic>
      <xdr:nvPicPr>
        <xdr:cNvPr id="3" name="図 2" descr="ダイアグラム&#10;&#10;中程度の精度で自動的に生成された説明">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5005047" y="925741"/>
          <a:ext cx="2160747" cy="5217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C6C1A1-14B6-4E46-BDB0-2CC340EB48E3}" name="テーブル33" displayName="テーブル33" ref="A22:L35" totalsRowShown="0" headerRowDxfId="30" dataDxfId="28" headerRowBorderDxfId="29" tableBorderDxfId="27" totalsRowBorderDxfId="26">
  <autoFilter ref="A22:L35" xr:uid="{54C6C1A1-14B6-4E46-BDB0-2CC340EB48E3}"/>
  <tableColumns count="12">
    <tableColumn id="12" xr3:uid="{BBBA143A-4A92-4A75-91E1-FA5F96C56D17}" name="番号" dataDxfId="25"/>
    <tableColumn id="1" xr3:uid="{B1BA36FE-3157-4B4B-8666-AF24FA1CDF1F}" name="続柄" dataDxfId="24"/>
    <tableColumn id="2" xr3:uid="{03B36FC8-7DC2-40A6-BDDC-EA0FC343863D}" name="氏名_x000a_(行政　太郎)" dataDxfId="23"/>
    <tableColumn id="3" xr3:uid="{897516C0-9E41-411A-8319-7A17A9F6E088}" name="ふりがな_x000a_(ぎょうせい　たろう)" dataDxfId="22"/>
    <tableColumn id="4" xr3:uid="{9FEF3FBB-E25C-406A-885F-438E2FD67A1E}" name="生年月日_x000a_(R1.1.1)" dataDxfId="21"/>
    <tableColumn id="5" xr3:uid="{C880F283-C311-4D05-8DF6-930336CE3D39}" name="死亡日_x000a_(R1.1.1)" dataDxfId="20"/>
    <tableColumn id="7" xr3:uid="{CA5BA453-B86C-4DEE-B1A4-AEF124E5350E}" name="〒_x000a_(000-0000)" dataDxfId="19"/>
    <tableColumn id="6" xr3:uid="{C47EDFC9-76A2-4A72-8DCF-5C25EF87E54B}" name="住所1_x000a_(東京都中央区八重洲一丁目7-20)" dataDxfId="18"/>
    <tableColumn id="10" xr3:uid="{E3FF3E89-054E-4192-8877-E389F49ED06D}" name="住所2_x000a_(八重洲口会館2階)" dataDxfId="17"/>
    <tableColumn id="9" xr3:uid="{954502F6-04AD-43FA-8FA4-E969AB3CF302}" name="TEL_x000a_(00-0000-0000)" dataDxfId="16"/>
    <tableColumn id="8" xr3:uid="{44786611-71A3-4010-9F35-E544FF6C309A}" name="本籍地_x000a_(東京都中央区八重洲一丁目7番20号)" dataDxfId="15"/>
    <tableColumn id="11" xr3:uid="{C6A6CB8F-F2C1-40F4-9BB5-E00E604AE756}" name="筆頭者_x000a_(行政　太郎)" dataDxfId="1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3ADDCE-84D0-48BD-8605-ECC3EA2122BF}" name="テーブル13" displayName="テーブル13" ref="A48:E67" totalsRowShown="0" headerRowDxfId="13" dataDxfId="11" headerRowBorderDxfId="12" tableBorderDxfId="10" totalsRowBorderDxfId="9">
  <autoFilter ref="A48:E67" xr:uid="{F83ADDCE-84D0-48BD-8605-ECC3EA2122BF}"/>
  <tableColumns count="5">
    <tableColumn id="1" xr3:uid="{50C154F9-EA8D-4EC7-9C4A-C33BC67E0E3B}" name="金融機関№" dataDxfId="8"/>
    <tableColumn id="2" xr3:uid="{B47AC31C-49F0-4616-9DD5-9EDCCAB8307E}" name="行名" dataDxfId="7"/>
    <tableColumn id="3" xr3:uid="{EB137929-BE30-4222-BA90-2DD9735AA7AB}" name="支店名" dataDxfId="6"/>
    <tableColumn id="4" xr3:uid="{1A872D53-82BA-48F7-BEDF-936693A88725}" name="種類" dataDxfId="5"/>
    <tableColumn id="5" xr3:uid="{70199C24-244E-41BA-94A0-65D321CAEA63}" name="口座番号" dataDxfId="4"/>
  </tableColumns>
  <tableStyleInfo name="TableStyleMedium1"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omments" Target="../comments2.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table" Target="../tables/table2.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table" Target="../tables/table1.xml"/><Relationship Id="rId8" Type="http://schemas.openxmlformats.org/officeDocument/2006/relationships/ctrlProp" Target="../ctrlProps/ctrlProp5.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1" Type="http://schemas.openxmlformats.org/officeDocument/2006/relationships/printerSettings" Target="../printerSettings/printerSettings2.bin"/><Relationship Id="rId6" Type="http://schemas.openxmlformats.org/officeDocument/2006/relationships/ctrlProp" Target="../ctrlProps/ctrlProp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A18B1-D0C8-4648-8602-E6F86E579D48}">
  <sheetPr>
    <tabColor theme="8" tint="-0.499984740745262"/>
  </sheetPr>
  <dimension ref="A1:J49"/>
  <sheetViews>
    <sheetView topLeftCell="A6" zoomScale="115" zoomScaleNormal="115" workbookViewId="0">
      <selection activeCell="A45" sqref="A45"/>
    </sheetView>
  </sheetViews>
  <sheetFormatPr defaultRowHeight="18.75"/>
  <cols>
    <col min="1" max="1" width="18.375" customWidth="1"/>
    <col min="2" max="2" width="18.625" style="131" customWidth="1"/>
    <col min="3" max="3" width="5.5" style="131" bestFit="1" customWidth="1"/>
    <col min="4" max="4" width="4.875" style="131" customWidth="1"/>
    <col min="5" max="5" width="12.75" customWidth="1"/>
    <col min="6" max="6" width="3.125" customWidth="1"/>
    <col min="7" max="7" width="18.25" customWidth="1"/>
    <col min="8" max="8" width="9.125" customWidth="1"/>
    <col min="9" max="9" width="11.25" bestFit="1" customWidth="1"/>
    <col min="11" max="11" width="5.25" customWidth="1"/>
    <col min="12" max="14" width="8.75" customWidth="1"/>
  </cols>
  <sheetData>
    <row r="1" spans="1:10" ht="25.5">
      <c r="A1" s="154" t="s">
        <v>494</v>
      </c>
    </row>
    <row r="3" spans="1:10" ht="19.5">
      <c r="A3" s="234" t="s">
        <v>496</v>
      </c>
    </row>
    <row r="4" spans="1:10">
      <c r="A4" t="s">
        <v>497</v>
      </c>
    </row>
    <row r="5" spans="1:10">
      <c r="A5" t="s">
        <v>498</v>
      </c>
    </row>
    <row r="6" spans="1:10">
      <c r="A6" t="s">
        <v>523</v>
      </c>
    </row>
    <row r="7" spans="1:10">
      <c r="A7" t="s">
        <v>499</v>
      </c>
    </row>
    <row r="8" spans="1:10">
      <c r="A8" t="s">
        <v>500</v>
      </c>
    </row>
    <row r="9" spans="1:10">
      <c r="A9" t="s">
        <v>501</v>
      </c>
    </row>
    <row r="10" spans="1:10">
      <c r="A10" t="s">
        <v>495</v>
      </c>
    </row>
    <row r="11" spans="1:10">
      <c r="A11" s="226" t="s">
        <v>535</v>
      </c>
    </row>
    <row r="12" spans="1:10">
      <c r="A12" s="226" t="s">
        <v>502</v>
      </c>
    </row>
    <row r="13" spans="1:10">
      <c r="A13" s="226" t="s">
        <v>503</v>
      </c>
    </row>
    <row r="15" spans="1:10" ht="20.25" customHeight="1">
      <c r="A15" s="157" t="s">
        <v>294</v>
      </c>
      <c r="B15" s="256">
        <v>45574</v>
      </c>
      <c r="C15" s="256"/>
      <c r="D15" s="256"/>
      <c r="E15" s="200"/>
      <c r="F15" s="201"/>
      <c r="G15" s="194" t="s">
        <v>300</v>
      </c>
      <c r="H15" s="194" t="s">
        <v>419</v>
      </c>
      <c r="I15" s="194" t="s">
        <v>439</v>
      </c>
      <c r="J15" s="194" t="s">
        <v>301</v>
      </c>
    </row>
    <row r="16" spans="1:10" ht="20.25" customHeight="1">
      <c r="A16" s="157" t="s">
        <v>416</v>
      </c>
      <c r="B16" s="256" t="s">
        <v>32</v>
      </c>
      <c r="C16" s="256"/>
      <c r="D16" s="256"/>
      <c r="E16" s="198" t="s">
        <v>442</v>
      </c>
      <c r="F16" s="202" t="s">
        <v>443</v>
      </c>
      <c r="G16" s="227" t="s">
        <v>288</v>
      </c>
      <c r="H16" s="228">
        <v>4</v>
      </c>
      <c r="I16" s="229" t="s">
        <v>440</v>
      </c>
      <c r="J16" s="230">
        <v>4</v>
      </c>
    </row>
    <row r="17" spans="1:10" ht="20.25" customHeight="1">
      <c r="A17" s="222"/>
      <c r="B17" s="262"/>
      <c r="C17" s="262"/>
      <c r="D17" s="262"/>
      <c r="E17" s="198" t="s">
        <v>442</v>
      </c>
      <c r="F17" s="202" t="s">
        <v>444</v>
      </c>
      <c r="G17" s="227" t="s">
        <v>451</v>
      </c>
      <c r="H17" s="228">
        <v>1</v>
      </c>
      <c r="I17" s="229" t="s">
        <v>440</v>
      </c>
      <c r="J17" s="230">
        <v>1</v>
      </c>
    </row>
    <row r="18" spans="1:10" ht="20.25" customHeight="1">
      <c r="A18" s="222"/>
      <c r="B18" s="262"/>
      <c r="C18" s="262"/>
      <c r="D18" s="262"/>
      <c r="E18" s="198" t="s">
        <v>442</v>
      </c>
      <c r="F18" s="202" t="s">
        <v>445</v>
      </c>
      <c r="G18" s="227" t="s">
        <v>399</v>
      </c>
      <c r="H18" s="228">
        <v>1</v>
      </c>
      <c r="I18" s="229" t="s">
        <v>440</v>
      </c>
      <c r="J18" s="230">
        <v>1</v>
      </c>
    </row>
    <row r="19" spans="1:10" ht="20.25" customHeight="1">
      <c r="A19" s="192" t="s">
        <v>417</v>
      </c>
      <c r="B19" s="263" t="str">
        <f>B16&amp;""</f>
        <v>相続人①(代表)</v>
      </c>
      <c r="C19" s="258"/>
      <c r="D19" s="258"/>
      <c r="E19" s="198" t="s">
        <v>442</v>
      </c>
      <c r="F19" s="202" t="s">
        <v>446</v>
      </c>
      <c r="G19" s="227" t="s">
        <v>400</v>
      </c>
      <c r="H19" s="228">
        <v>1</v>
      </c>
      <c r="I19" s="229" t="s">
        <v>440</v>
      </c>
      <c r="J19" s="230">
        <v>1</v>
      </c>
    </row>
    <row r="20" spans="1:10" ht="20.25" customHeight="1">
      <c r="A20" s="193" t="s">
        <v>6</v>
      </c>
      <c r="B20" s="259" t="str">
        <f>VLOOKUP($B$16,基本情報入力!$A$23:$J$35,2,FALSE)&amp;""</f>
        <v/>
      </c>
      <c r="C20" s="258"/>
      <c r="D20" s="258"/>
      <c r="E20" s="198" t="s">
        <v>442</v>
      </c>
      <c r="F20" s="202" t="s">
        <v>447</v>
      </c>
      <c r="G20" s="227" t="s">
        <v>304</v>
      </c>
      <c r="H20" s="228">
        <v>1</v>
      </c>
      <c r="I20" s="229"/>
      <c r="J20" s="230"/>
    </row>
    <row r="21" spans="1:10" ht="20.25" customHeight="1">
      <c r="A21" s="157" t="s">
        <v>4</v>
      </c>
      <c r="B21" s="259" t="str">
        <f>VLOOKUP($B$16,基本情報入力!$A$23:$J$35,3,FALSE)&amp;""</f>
        <v/>
      </c>
      <c r="C21" s="258"/>
      <c r="D21" s="258"/>
      <c r="E21" s="198" t="s">
        <v>442</v>
      </c>
      <c r="F21" s="202" t="s">
        <v>448</v>
      </c>
      <c r="G21" s="227" t="s">
        <v>485</v>
      </c>
      <c r="H21" s="228">
        <v>1</v>
      </c>
      <c r="I21" s="229"/>
      <c r="J21" s="230"/>
    </row>
    <row r="22" spans="1:10" ht="20.25" customHeight="1">
      <c r="A22" s="157" t="s">
        <v>298</v>
      </c>
      <c r="B22" s="259" t="str">
        <f>VLOOKUP($B$16,基本情報入力!$A$23:$J$35,4,FALSE)&amp;""</f>
        <v/>
      </c>
      <c r="C22" s="258"/>
      <c r="D22" s="258"/>
      <c r="E22" s="198" t="s">
        <v>442</v>
      </c>
      <c r="F22" s="202" t="s">
        <v>449</v>
      </c>
      <c r="G22" s="227"/>
      <c r="H22" s="228"/>
      <c r="I22" s="229"/>
      <c r="J22" s="230"/>
    </row>
    <row r="23" spans="1:10" s="14" customFormat="1" ht="20.25" customHeight="1">
      <c r="A23" s="157" t="s">
        <v>299</v>
      </c>
      <c r="B23" s="260">
        <f>VLOOKUP($B$16,基本情報入力!$A$23:$J$35,5,FALSE)</f>
        <v>0</v>
      </c>
      <c r="C23" s="261"/>
      <c r="D23" s="261"/>
      <c r="E23" s="198" t="s">
        <v>442</v>
      </c>
      <c r="F23" s="202" t="s">
        <v>450</v>
      </c>
      <c r="G23" s="227"/>
      <c r="H23" s="228"/>
      <c r="I23" s="229"/>
      <c r="J23" s="230"/>
    </row>
    <row r="24" spans="1:10" s="14" customFormat="1" ht="20.25" customHeight="1">
      <c r="A24" s="157" t="s">
        <v>55</v>
      </c>
      <c r="B24" s="259">
        <f>VLOOKUP($B$16,基本情報入力!$A$23:$J$35,7,FALSE)</f>
        <v>0</v>
      </c>
      <c r="C24" s="258"/>
      <c r="D24" s="258"/>
      <c r="E24" s="198" t="s">
        <v>442</v>
      </c>
      <c r="F24" s="202" t="s">
        <v>252</v>
      </c>
      <c r="G24" s="227"/>
      <c r="H24" s="228"/>
      <c r="I24" s="229"/>
      <c r="J24" s="230"/>
    </row>
    <row r="25" spans="1:10" ht="19.5" thickBot="1">
      <c r="A25" s="157" t="s">
        <v>134</v>
      </c>
      <c r="B25" s="259" t="str">
        <f>VLOOKUP($B$16,基本情報入力!$A$23:$J$35,8,FALSE)&amp;""</f>
        <v/>
      </c>
      <c r="C25" s="258"/>
      <c r="D25" s="258"/>
      <c r="E25" s="199" t="s">
        <v>442</v>
      </c>
      <c r="F25" s="203" t="s">
        <v>253</v>
      </c>
      <c r="G25" s="239"/>
      <c r="H25" s="240"/>
      <c r="I25" s="241"/>
      <c r="J25" s="242"/>
    </row>
    <row r="26" spans="1:10">
      <c r="A26" s="157" t="s">
        <v>135</v>
      </c>
      <c r="B26" s="259" t="str">
        <f>VLOOKUP($B$16,基本情報入力!$A$23:$J$35,9,FALSE)&amp;""</f>
        <v/>
      </c>
      <c r="C26" s="258"/>
      <c r="D26" s="258"/>
      <c r="E26" s="267" t="s">
        <v>295</v>
      </c>
      <c r="F26" s="268"/>
      <c r="G26" s="231" t="s">
        <v>290</v>
      </c>
      <c r="H26" s="224"/>
      <c r="I26" s="224"/>
      <c r="J26" s="232">
        <v>4</v>
      </c>
    </row>
    <row r="27" spans="1:10">
      <c r="A27" s="243" t="s">
        <v>56</v>
      </c>
      <c r="B27" s="257" t="str">
        <f>VLOOKUP($B$16,基本情報入力!$A$23:$J$35,10,FALSE)&amp;""</f>
        <v/>
      </c>
      <c r="C27" s="258"/>
      <c r="D27" s="258"/>
      <c r="E27" s="269" t="s">
        <v>296</v>
      </c>
      <c r="F27" s="270"/>
      <c r="G27" s="227"/>
      <c r="H27" s="225"/>
      <c r="I27" s="225"/>
      <c r="J27" s="230"/>
    </row>
    <row r="28" spans="1:10">
      <c r="A28" s="222"/>
      <c r="B28" s="271"/>
      <c r="C28" s="271"/>
      <c r="D28" s="271"/>
      <c r="E28" s="269" t="s">
        <v>297</v>
      </c>
      <c r="F28" s="270"/>
      <c r="G28" s="227"/>
      <c r="H28" s="225"/>
      <c r="I28" s="225"/>
      <c r="J28" s="230"/>
    </row>
    <row r="29" spans="1:10">
      <c r="A29" s="14"/>
      <c r="B29" s="14"/>
      <c r="C29" s="14"/>
      <c r="D29" s="14"/>
      <c r="E29" s="14"/>
      <c r="F29" s="14"/>
      <c r="G29" s="14"/>
      <c r="H29" s="14"/>
      <c r="I29" s="14"/>
      <c r="J29" s="14"/>
    </row>
    <row r="30" spans="1:10">
      <c r="A30" s="195" t="s">
        <v>392</v>
      </c>
      <c r="B30" s="264"/>
      <c r="C30" s="265"/>
      <c r="D30" s="266"/>
    </row>
    <row r="31" spans="1:10">
      <c r="A31" s="195" t="s">
        <v>393</v>
      </c>
      <c r="B31" s="264"/>
      <c r="C31" s="265"/>
      <c r="D31" s="266"/>
    </row>
    <row r="32" spans="1:10">
      <c r="A32" s="195" t="s">
        <v>394</v>
      </c>
      <c r="B32" s="264"/>
      <c r="C32" s="265"/>
      <c r="D32" s="266"/>
    </row>
    <row r="33" spans="1:4">
      <c r="A33" s="195" t="s">
        <v>395</v>
      </c>
      <c r="B33" s="264"/>
      <c r="C33" s="265"/>
      <c r="D33" s="266"/>
    </row>
    <row r="34" spans="1:4">
      <c r="A34" s="195" t="s">
        <v>396</v>
      </c>
      <c r="B34" s="264"/>
      <c r="C34" s="265"/>
      <c r="D34" s="266"/>
    </row>
    <row r="35" spans="1:4">
      <c r="A35" s="195" t="s">
        <v>397</v>
      </c>
      <c r="B35" s="264"/>
      <c r="C35" s="265"/>
      <c r="D35" s="266"/>
    </row>
    <row r="36" spans="1:4">
      <c r="A36" s="195" t="s">
        <v>418</v>
      </c>
      <c r="B36" s="264"/>
      <c r="C36" s="265"/>
      <c r="D36" s="266"/>
    </row>
    <row r="37" spans="1:4">
      <c r="A37" s="195" t="s">
        <v>455</v>
      </c>
      <c r="B37" s="264"/>
      <c r="C37" s="265"/>
      <c r="D37" s="266"/>
    </row>
    <row r="38" spans="1:4">
      <c r="A38" s="195" t="s">
        <v>456</v>
      </c>
      <c r="B38" s="264"/>
      <c r="C38" s="265"/>
      <c r="D38" s="266"/>
    </row>
    <row r="39" spans="1:4">
      <c r="A39" s="195" t="s">
        <v>457</v>
      </c>
      <c r="B39" s="264"/>
      <c r="C39" s="265"/>
      <c r="D39" s="266"/>
    </row>
    <row r="40" spans="1:4">
      <c r="A40" s="195" t="s">
        <v>458</v>
      </c>
      <c r="B40" s="264"/>
      <c r="C40" s="265"/>
      <c r="D40" s="266"/>
    </row>
    <row r="41" spans="1:4">
      <c r="A41" s="195" t="s">
        <v>459</v>
      </c>
      <c r="B41" s="264"/>
      <c r="C41" s="265"/>
      <c r="D41" s="266"/>
    </row>
    <row r="42" spans="1:4">
      <c r="A42" s="195" t="s">
        <v>460</v>
      </c>
      <c r="B42" s="264"/>
      <c r="C42" s="265"/>
      <c r="D42" s="266"/>
    </row>
    <row r="43" spans="1:4">
      <c r="A43" s="195" t="s">
        <v>461</v>
      </c>
      <c r="B43" s="264"/>
      <c r="C43" s="265"/>
      <c r="D43" s="266"/>
    </row>
    <row r="44" spans="1:4">
      <c r="A44" s="195" t="s">
        <v>462</v>
      </c>
      <c r="B44" s="264"/>
      <c r="C44" s="265"/>
      <c r="D44" s="266"/>
    </row>
    <row r="45" spans="1:4">
      <c r="B45"/>
      <c r="C45"/>
      <c r="D45"/>
    </row>
    <row r="46" spans="1:4">
      <c r="B46"/>
      <c r="C46"/>
      <c r="D46"/>
    </row>
    <row r="47" spans="1:4">
      <c r="B47"/>
      <c r="C47"/>
      <c r="D47"/>
    </row>
    <row r="48" spans="1:4">
      <c r="B48"/>
      <c r="C48"/>
      <c r="D48"/>
    </row>
    <row r="49" customFormat="1"/>
  </sheetData>
  <mergeCells count="32">
    <mergeCell ref="E26:F26"/>
    <mergeCell ref="E27:F27"/>
    <mergeCell ref="B40:D40"/>
    <mergeCell ref="B35:D35"/>
    <mergeCell ref="B34:D34"/>
    <mergeCell ref="B30:D30"/>
    <mergeCell ref="B31:D31"/>
    <mergeCell ref="B32:D32"/>
    <mergeCell ref="B33:D33"/>
    <mergeCell ref="B26:D26"/>
    <mergeCell ref="E28:F28"/>
    <mergeCell ref="B28:D28"/>
    <mergeCell ref="B41:D41"/>
    <mergeCell ref="B42:D42"/>
    <mergeCell ref="B43:D43"/>
    <mergeCell ref="B44:D44"/>
    <mergeCell ref="B36:D36"/>
    <mergeCell ref="B37:D37"/>
    <mergeCell ref="B38:D38"/>
    <mergeCell ref="B39:D39"/>
    <mergeCell ref="B15:D15"/>
    <mergeCell ref="B27:D27"/>
    <mergeCell ref="B21:D21"/>
    <mergeCell ref="B22:D22"/>
    <mergeCell ref="B23:D23"/>
    <mergeCell ref="B24:D24"/>
    <mergeCell ref="B25:D25"/>
    <mergeCell ref="B16:D16"/>
    <mergeCell ref="B17:D17"/>
    <mergeCell ref="B18:D18"/>
    <mergeCell ref="B19:D19"/>
    <mergeCell ref="B20:D20"/>
  </mergeCells>
  <phoneticPr fontId="2"/>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CFC42E2F-2C68-449D-8088-DA7CF81A1E10}">
          <x14:formula1>
            <xm:f>基本情報入力!$A$24:$A$35</xm:f>
          </x14:formula1>
          <xm:sqref>B16</xm:sqref>
        </x14:dataValidation>
        <x14:dataValidation type="list" allowBlank="1" showInputMessage="1" showErrorMessage="1" xr:uid="{1D134444-A3E4-467A-9E59-993CEDA8413D}">
          <x14:formula1>
            <xm:f>プルダウン!$A$4:$A$6</xm:f>
          </x14:formula1>
          <xm:sqref>I16:I25</xm:sqref>
        </x14:dataValidation>
        <x14:dataValidation type="list" errorStyle="information" allowBlank="1" showInputMessage="1" showErrorMessage="1" xr:uid="{FD7AF922-E28B-42E3-987C-BD11410D4976}">
          <x14:formula1>
            <xm:f>プルダウン!$E$4:$E$29</xm:f>
          </x14:formula1>
          <xm:sqref>G26:G28</xm:sqref>
        </x14:dataValidation>
        <x14:dataValidation type="list" errorStyle="information" allowBlank="1" prompt="_x000a_" xr:uid="{F4790705-EAB1-4042-8CF0-A43CF148A278}">
          <x14:formula1>
            <xm:f>プルダウン!$B$4:$B$29</xm:f>
          </x14:formula1>
          <xm:sqref>G16:G25</xm:sqref>
        </x14:dataValidation>
        <x14:dataValidation type="list" errorStyle="information" allowBlank="1" showInputMessage="1" showErrorMessage="1" xr:uid="{C014EA4A-1E61-424C-A048-2E792AA983F3}">
          <x14:formula1>
            <xm:f>基本情報入力!$B$49:B$67</xm:f>
          </x14:formula1>
          <xm:sqref>B30:D44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0441-277F-4918-A249-2F4B20B06B19}">
  <sheetPr codeName="Sheet1">
    <tabColor theme="5"/>
  </sheetPr>
  <dimension ref="A1:AG188"/>
  <sheetViews>
    <sheetView tabSelected="1" zoomScaleNormal="100" workbookViewId="0">
      <selection activeCell="L5" sqref="L5"/>
    </sheetView>
  </sheetViews>
  <sheetFormatPr defaultColWidth="9" defaultRowHeight="18.75"/>
  <cols>
    <col min="1" max="1" width="13.625" style="1" customWidth="1"/>
    <col min="2" max="5" width="13.125" style="1" customWidth="1"/>
    <col min="6" max="6" width="13.875" style="1" customWidth="1"/>
    <col min="7" max="7" width="20.75" style="1" customWidth="1"/>
    <col min="8" max="8" width="23.375" style="1" customWidth="1"/>
    <col min="9" max="10" width="22.75" style="1" customWidth="1"/>
    <col min="11" max="11" width="28.875" style="1" customWidth="1"/>
    <col min="12" max="12" width="16" style="1" customWidth="1"/>
    <col min="13" max="13" width="21.25" customWidth="1"/>
    <col min="17" max="17" width="9" customWidth="1"/>
    <col min="18" max="18" width="12.875" customWidth="1"/>
    <col min="19" max="19" width="9" customWidth="1"/>
    <col min="20" max="20" width="15.875" customWidth="1"/>
    <col min="21" max="23" width="10.375" customWidth="1"/>
    <col min="25" max="25" width="9.25" bestFit="1" customWidth="1"/>
    <col min="26" max="26" width="9.25" style="3" bestFit="1" customWidth="1"/>
    <col min="27" max="27" width="20.75" style="3" bestFit="1" customWidth="1"/>
    <col min="28" max="28" width="43.375" style="3" customWidth="1"/>
    <col min="29" max="29" width="9.25" style="3" bestFit="1" customWidth="1"/>
    <col min="30" max="30" width="30.625" style="3" bestFit="1" customWidth="1"/>
    <col min="31" max="31" width="15.5" customWidth="1"/>
    <col min="32" max="16384" width="9" style="1"/>
  </cols>
  <sheetData>
    <row r="1" spans="1:32" ht="28.5">
      <c r="A1" s="4" t="s">
        <v>42</v>
      </c>
    </row>
    <row r="2" spans="1:32">
      <c r="A2" s="1" t="s">
        <v>505</v>
      </c>
    </row>
    <row r="3" spans="1:32">
      <c r="A3" s="1" t="s">
        <v>546</v>
      </c>
    </row>
    <row r="4" spans="1:32">
      <c r="A4" s="1" t="s">
        <v>506</v>
      </c>
    </row>
    <row r="5" spans="1:32">
      <c r="A5" s="1" t="s">
        <v>507</v>
      </c>
    </row>
    <row r="6" spans="1:32" hidden="1"/>
    <row r="8" spans="1:32">
      <c r="A8" s="73" t="s">
        <v>174</v>
      </c>
      <c r="B8" s="60" t="s">
        <v>508</v>
      </c>
      <c r="C8" s="60"/>
      <c r="D8" s="60"/>
      <c r="E8" s="60"/>
      <c r="F8" s="272" t="s">
        <v>225</v>
      </c>
      <c r="G8" s="272"/>
      <c r="H8" s="80" t="s">
        <v>228</v>
      </c>
      <c r="I8" s="61"/>
      <c r="J8" s="272" t="s">
        <v>255</v>
      </c>
      <c r="K8" s="272"/>
    </row>
    <row r="9" spans="1:32">
      <c r="A9" s="2" t="s">
        <v>0</v>
      </c>
      <c r="B9" s="89"/>
      <c r="C9" s="35" t="s">
        <v>138</v>
      </c>
      <c r="D9" s="89"/>
      <c r="E9"/>
      <c r="F9" s="2" t="s">
        <v>244</v>
      </c>
      <c r="G9" s="91" t="s">
        <v>180</v>
      </c>
      <c r="H9" s="92"/>
      <c r="I9" s="102" t="b">
        <v>1</v>
      </c>
      <c r="J9" s="275" t="s">
        <v>229</v>
      </c>
      <c r="K9" s="276"/>
      <c r="M9" s="1"/>
      <c r="AF9"/>
    </row>
    <row r="10" spans="1:32">
      <c r="A10" s="2" t="s">
        <v>41</v>
      </c>
      <c r="B10" s="89"/>
      <c r="C10" s="35" t="s">
        <v>176</v>
      </c>
      <c r="D10" s="89"/>
      <c r="E10"/>
      <c r="F10" s="2" t="s">
        <v>245</v>
      </c>
      <c r="G10" s="91" t="s">
        <v>165</v>
      </c>
      <c r="H10" s="92"/>
      <c r="I10" s="102" t="b">
        <v>1</v>
      </c>
      <c r="J10" s="275"/>
      <c r="K10" s="276"/>
      <c r="M10" s="1"/>
      <c r="AF10"/>
    </row>
    <row r="11" spans="1:32">
      <c r="A11" s="2" t="s">
        <v>1</v>
      </c>
      <c r="B11" s="89"/>
      <c r="C11" s="35" t="s">
        <v>171</v>
      </c>
      <c r="D11" s="89"/>
      <c r="E11"/>
      <c r="F11" s="35" t="s">
        <v>246</v>
      </c>
      <c r="G11" s="91" t="s">
        <v>509</v>
      </c>
      <c r="H11" s="92"/>
      <c r="I11" s="102" t="b">
        <v>1</v>
      </c>
      <c r="J11" s="275"/>
      <c r="K11" s="276"/>
      <c r="M11" s="1"/>
      <c r="AF11"/>
    </row>
    <row r="12" spans="1:32">
      <c r="A12" s="2" t="s">
        <v>25</v>
      </c>
      <c r="B12" s="89"/>
      <c r="C12" s="87" t="s">
        <v>235</v>
      </c>
      <c r="D12" s="90"/>
      <c r="E12" s="67"/>
      <c r="F12" s="35" t="s">
        <v>247</v>
      </c>
      <c r="G12" s="91" t="s">
        <v>166</v>
      </c>
      <c r="H12" s="92"/>
      <c r="I12" s="102" t="b">
        <v>1</v>
      </c>
      <c r="J12" s="275"/>
      <c r="K12" s="276"/>
      <c r="M12" s="1"/>
      <c r="AF12"/>
    </row>
    <row r="13" spans="1:32">
      <c r="A13" s="2" t="s">
        <v>2</v>
      </c>
      <c r="B13" s="89"/>
      <c r="C13" s="2" t="s">
        <v>243</v>
      </c>
      <c r="D13" s="89"/>
      <c r="E13"/>
      <c r="F13" s="35" t="s">
        <v>248</v>
      </c>
      <c r="G13" s="91" t="s">
        <v>510</v>
      </c>
      <c r="H13" s="92"/>
      <c r="I13" s="102" t="b">
        <v>1</v>
      </c>
      <c r="J13" s="275"/>
      <c r="K13" s="276"/>
      <c r="M13" s="1"/>
      <c r="AF13"/>
    </row>
    <row r="14" spans="1:32">
      <c r="A14" s="2" t="s">
        <v>169</v>
      </c>
      <c r="B14" s="90"/>
      <c r="C14" s="35"/>
      <c r="D14" s="235"/>
      <c r="E14"/>
      <c r="F14" s="35" t="s">
        <v>249</v>
      </c>
      <c r="G14" s="91" t="s">
        <v>525</v>
      </c>
      <c r="H14" s="92"/>
      <c r="I14" s="102" t="b">
        <v>1</v>
      </c>
      <c r="J14"/>
      <c r="K14"/>
      <c r="M14" s="1"/>
      <c r="AF14"/>
    </row>
    <row r="15" spans="1:32">
      <c r="A15" s="35" t="s">
        <v>179</v>
      </c>
      <c r="B15" s="89"/>
      <c r="C15" s="35"/>
      <c r="D15" s="236"/>
      <c r="E15"/>
      <c r="F15" s="35" t="s">
        <v>250</v>
      </c>
      <c r="G15" s="91" t="s">
        <v>170</v>
      </c>
      <c r="H15" s="92"/>
      <c r="I15" s="102" t="b">
        <v>1</v>
      </c>
      <c r="J15"/>
      <c r="K15"/>
      <c r="M15" s="1"/>
      <c r="AF15"/>
    </row>
    <row r="16" spans="1:32">
      <c r="A16" s="87" t="s">
        <v>178</v>
      </c>
      <c r="B16" s="89"/>
      <c r="C16" s="35"/>
      <c r="D16" s="236"/>
      <c r="E16"/>
      <c r="F16" s="35" t="s">
        <v>251</v>
      </c>
      <c r="G16" s="91" t="s">
        <v>181</v>
      </c>
      <c r="H16" s="92"/>
      <c r="I16" s="102" t="b">
        <v>0</v>
      </c>
      <c r="J16"/>
      <c r="K16"/>
      <c r="M16" s="1"/>
      <c r="AF16"/>
    </row>
    <row r="17" spans="1:32">
      <c r="A17" s="35" t="s">
        <v>227</v>
      </c>
      <c r="B17" s="89"/>
      <c r="C17" s="35"/>
      <c r="D17" s="236"/>
      <c r="E17"/>
      <c r="F17" s="35" t="s">
        <v>252</v>
      </c>
      <c r="G17" s="91" t="s">
        <v>272</v>
      </c>
      <c r="H17" s="92"/>
      <c r="I17" s="102" t="b">
        <v>0</v>
      </c>
      <c r="J17"/>
      <c r="K17"/>
      <c r="M17" s="1"/>
      <c r="AF17"/>
    </row>
    <row r="18" spans="1:32">
      <c r="A18" s="35" t="s">
        <v>83</v>
      </c>
      <c r="B18" s="89"/>
      <c r="C18" s="35"/>
      <c r="D18" s="236"/>
      <c r="E18"/>
      <c r="F18" s="35" t="s">
        <v>253</v>
      </c>
      <c r="G18" s="91"/>
      <c r="H18" s="91"/>
      <c r="I18" s="102" t="b">
        <v>0</v>
      </c>
      <c r="J18"/>
      <c r="K18"/>
      <c r="M18" s="1"/>
      <c r="AF18"/>
    </row>
    <row r="19" spans="1:32">
      <c r="A19" s="35" t="s">
        <v>226</v>
      </c>
      <c r="B19" s="89"/>
      <c r="C19" s="35"/>
      <c r="D19" s="236"/>
      <c r="E19"/>
      <c r="F19" s="35" t="s">
        <v>254</v>
      </c>
      <c r="G19" s="91"/>
      <c r="H19" s="92"/>
      <c r="I19" s="102" t="b">
        <v>0</v>
      </c>
      <c r="J19"/>
      <c r="K19"/>
      <c r="M19" s="1"/>
      <c r="AF19"/>
    </row>
    <row r="20" spans="1:32">
      <c r="E20"/>
    </row>
    <row r="21" spans="1:32">
      <c r="A21" s="74" t="s">
        <v>256</v>
      </c>
    </row>
    <row r="22" spans="1:32" s="86" customFormat="1" ht="37.5">
      <c r="A22" s="81" t="s">
        <v>159</v>
      </c>
      <c r="B22" s="82" t="s">
        <v>6</v>
      </c>
      <c r="C22" s="83" t="s">
        <v>257</v>
      </c>
      <c r="D22" s="83" t="s">
        <v>258</v>
      </c>
      <c r="E22" s="83" t="s">
        <v>259</v>
      </c>
      <c r="F22" s="83" t="s">
        <v>260</v>
      </c>
      <c r="G22" s="83" t="s">
        <v>261</v>
      </c>
      <c r="H22" s="83" t="s">
        <v>262</v>
      </c>
      <c r="I22" s="83" t="s">
        <v>263</v>
      </c>
      <c r="J22" s="83" t="s">
        <v>264</v>
      </c>
      <c r="K22" s="83" t="s">
        <v>265</v>
      </c>
      <c r="L22" s="83" t="s">
        <v>266</v>
      </c>
      <c r="M22" s="34"/>
      <c r="N22" s="34"/>
      <c r="O22" s="34"/>
      <c r="P22" s="34"/>
      <c r="Q22" s="84" t="b">
        <f>IF(R22="",FALSE,TRUE)</f>
        <v>1</v>
      </c>
      <c r="R22" s="273" t="str">
        <f>J9&amp;""</f>
        <v>印鑑証明書（原本）</v>
      </c>
      <c r="S22" s="273"/>
      <c r="T22" s="34"/>
      <c r="U22" s="34"/>
      <c r="V22" s="34"/>
      <c r="W22" s="34"/>
      <c r="X22" s="34"/>
      <c r="Y22" s="34"/>
      <c r="Z22" s="85"/>
      <c r="AA22" s="85"/>
      <c r="AB22" s="85"/>
      <c r="AC22" s="85"/>
      <c r="AD22" s="85"/>
      <c r="AE22" s="34"/>
    </row>
    <row r="23" spans="1:32">
      <c r="A23" s="93" t="s">
        <v>3</v>
      </c>
      <c r="B23" s="94" t="s">
        <v>234</v>
      </c>
      <c r="C23" s="89"/>
      <c r="D23" s="89"/>
      <c r="E23" s="95"/>
      <c r="F23" s="95"/>
      <c r="G23" s="89"/>
      <c r="H23" s="91"/>
      <c r="I23" s="91"/>
      <c r="J23" s="91"/>
      <c r="K23" s="91"/>
      <c r="L23" s="96"/>
      <c r="Q23" s="76" t="b">
        <f>IF(R23="",FALSE,TRUE)</f>
        <v>0</v>
      </c>
      <c r="R23" s="274" t="str">
        <f>J10&amp;""</f>
        <v/>
      </c>
      <c r="S23" s="274"/>
    </row>
    <row r="24" spans="1:32">
      <c r="A24" s="93" t="s">
        <v>32</v>
      </c>
      <c r="B24" s="97"/>
      <c r="C24" s="89"/>
      <c r="D24" s="89"/>
      <c r="E24" s="95"/>
      <c r="F24" s="98"/>
      <c r="G24" s="89"/>
      <c r="H24" s="91"/>
      <c r="I24" s="91"/>
      <c r="J24" s="91"/>
      <c r="K24" s="91"/>
      <c r="L24" s="96"/>
      <c r="Q24" s="76" t="b">
        <f>IF(R24="",FALSE,TRUE)</f>
        <v>0</v>
      </c>
      <c r="R24" s="274" t="str">
        <f>J11&amp;""</f>
        <v/>
      </c>
      <c r="S24" s="274"/>
    </row>
    <row r="25" spans="1:32">
      <c r="A25" s="237" t="s">
        <v>31</v>
      </c>
      <c r="B25" s="97"/>
      <c r="C25" s="89"/>
      <c r="D25" s="89"/>
      <c r="E25" s="95"/>
      <c r="F25" s="95"/>
      <c r="G25" s="89"/>
      <c r="H25" s="91"/>
      <c r="I25" s="91"/>
      <c r="J25" s="91"/>
      <c r="K25" s="91"/>
      <c r="L25" s="96"/>
      <c r="Q25" s="76" t="b">
        <f>IF(R25="",FALSE,TRUE)</f>
        <v>0</v>
      </c>
      <c r="R25" s="274" t="str">
        <f>J12&amp;""</f>
        <v/>
      </c>
      <c r="S25" s="274"/>
    </row>
    <row r="26" spans="1:32">
      <c r="A26" s="237" t="s">
        <v>33</v>
      </c>
      <c r="B26" s="97"/>
      <c r="C26" s="89"/>
      <c r="D26" s="89"/>
      <c r="E26" s="95"/>
      <c r="F26" s="95"/>
      <c r="G26" s="89"/>
      <c r="H26" s="91"/>
      <c r="I26" s="91"/>
      <c r="J26" s="91"/>
      <c r="K26" s="91"/>
      <c r="L26" s="96"/>
      <c r="Q26" s="76" t="b">
        <f>IF(R26="",FALSE,TRUE)</f>
        <v>0</v>
      </c>
      <c r="R26" s="274" t="str">
        <f>J13&amp;""</f>
        <v/>
      </c>
      <c r="S26" s="274"/>
    </row>
    <row r="27" spans="1:32" ht="19.5" customHeight="1">
      <c r="A27" s="237" t="s">
        <v>34</v>
      </c>
      <c r="B27" s="97"/>
      <c r="C27" s="89"/>
      <c r="D27" s="89"/>
      <c r="E27" s="95"/>
      <c r="F27" s="95"/>
      <c r="G27" s="89"/>
      <c r="H27" s="91"/>
      <c r="I27" s="91"/>
      <c r="J27" s="91"/>
      <c r="K27" s="91"/>
      <c r="L27" s="96"/>
    </row>
    <row r="28" spans="1:32" ht="19.5" customHeight="1">
      <c r="A28" s="237" t="s">
        <v>35</v>
      </c>
      <c r="B28" s="97"/>
      <c r="C28" s="89"/>
      <c r="D28" s="89"/>
      <c r="E28" s="95"/>
      <c r="F28" s="95"/>
      <c r="G28" s="89"/>
      <c r="H28" s="91"/>
      <c r="I28" s="91"/>
      <c r="J28" s="91"/>
      <c r="K28" s="91"/>
      <c r="L28" s="96"/>
    </row>
    <row r="29" spans="1:32" ht="19.5" customHeight="1">
      <c r="A29" s="237" t="s">
        <v>36</v>
      </c>
      <c r="B29" s="97"/>
      <c r="C29" s="89"/>
      <c r="D29" s="89"/>
      <c r="E29" s="95"/>
      <c r="F29" s="98"/>
      <c r="G29" s="89"/>
      <c r="H29" s="91"/>
      <c r="I29" s="91"/>
      <c r="J29" s="91"/>
      <c r="K29" s="91"/>
      <c r="L29" s="96"/>
    </row>
    <row r="30" spans="1:32">
      <c r="A30" s="237" t="s">
        <v>37</v>
      </c>
      <c r="B30" s="97"/>
      <c r="C30" s="89"/>
      <c r="D30" s="89"/>
      <c r="E30" s="95"/>
      <c r="F30" s="98"/>
      <c r="G30" s="89"/>
      <c r="H30" s="91"/>
      <c r="I30" s="91"/>
      <c r="J30" s="91"/>
      <c r="K30" s="91"/>
      <c r="L30" s="96"/>
    </row>
    <row r="31" spans="1:32">
      <c r="A31" s="237" t="s">
        <v>38</v>
      </c>
      <c r="B31" s="97"/>
      <c r="C31" s="89"/>
      <c r="D31" s="89"/>
      <c r="E31" s="95"/>
      <c r="F31" s="98"/>
      <c r="G31" s="89"/>
      <c r="H31" s="91"/>
      <c r="I31" s="91"/>
      <c r="J31" s="91"/>
      <c r="K31" s="91"/>
      <c r="L31" s="96"/>
    </row>
    <row r="32" spans="1:32">
      <c r="A32" s="237" t="s">
        <v>39</v>
      </c>
      <c r="B32" s="97"/>
      <c r="C32" s="89"/>
      <c r="D32" s="89"/>
      <c r="E32" s="95"/>
      <c r="F32" s="98"/>
      <c r="G32" s="89"/>
      <c r="H32" s="91"/>
      <c r="I32" s="91"/>
      <c r="J32" s="91"/>
      <c r="K32" s="91"/>
      <c r="L32" s="96"/>
    </row>
    <row r="33" spans="1:12">
      <c r="A33" s="237" t="s">
        <v>40</v>
      </c>
      <c r="B33" s="97"/>
      <c r="C33" s="89"/>
      <c r="D33" s="89"/>
      <c r="E33" s="95"/>
      <c r="F33" s="98"/>
      <c r="G33" s="89"/>
      <c r="H33" s="91"/>
      <c r="I33" s="91"/>
      <c r="J33" s="91"/>
      <c r="K33" s="91"/>
      <c r="L33" s="96"/>
    </row>
    <row r="34" spans="1:12">
      <c r="A34" s="99" t="s">
        <v>136</v>
      </c>
      <c r="B34" s="97"/>
      <c r="C34" s="89"/>
      <c r="D34" s="89"/>
      <c r="E34" s="95"/>
      <c r="F34" s="98"/>
      <c r="G34" s="89"/>
      <c r="H34" s="91"/>
      <c r="I34" s="91"/>
      <c r="J34" s="91"/>
      <c r="K34" s="91"/>
      <c r="L34" s="96"/>
    </row>
    <row r="35" spans="1:12">
      <c r="A35" s="99" t="s">
        <v>137</v>
      </c>
      <c r="B35" s="97"/>
      <c r="C35" s="89"/>
      <c r="D35" s="89"/>
      <c r="E35" s="95"/>
      <c r="F35" s="98"/>
      <c r="G35" s="89"/>
      <c r="H35" s="91"/>
      <c r="I35" s="91"/>
      <c r="J35" s="91"/>
      <c r="K35" s="91"/>
      <c r="L35" s="96"/>
    </row>
    <row r="36" spans="1:12">
      <c r="B36" s="32"/>
      <c r="C36" s="32"/>
      <c r="D36" s="32"/>
      <c r="E36" s="32"/>
      <c r="F36" s="32"/>
      <c r="G36" s="32"/>
      <c r="H36" s="32"/>
      <c r="I36" s="32"/>
      <c r="J36" s="32"/>
      <c r="K36" s="32"/>
    </row>
    <row r="37" spans="1:12">
      <c r="A37" s="117" t="s">
        <v>511</v>
      </c>
      <c r="B37" s="32"/>
      <c r="C37" s="32"/>
      <c r="D37" s="32"/>
      <c r="E37" s="32"/>
      <c r="F37" s="32"/>
      <c r="G37" s="32"/>
      <c r="H37" s="32"/>
      <c r="I37" s="32"/>
      <c r="J37" s="32"/>
      <c r="K37" s="32"/>
    </row>
    <row r="38" spans="1:12">
      <c r="A38" s="115" t="s">
        <v>274</v>
      </c>
      <c r="B38" s="116"/>
      <c r="C38" s="32"/>
      <c r="D38" s="111" t="s">
        <v>277</v>
      </c>
      <c r="E38" s="32"/>
      <c r="F38" s="32"/>
      <c r="G38" s="32"/>
      <c r="H38" s="32"/>
      <c r="I38" s="32"/>
      <c r="J38" s="32"/>
      <c r="K38" s="32"/>
    </row>
    <row r="39" spans="1:12">
      <c r="A39" s="114" t="s">
        <v>275</v>
      </c>
      <c r="B39" s="238"/>
      <c r="C39" s="32"/>
      <c r="D39" s="113" t="s">
        <v>278</v>
      </c>
      <c r="E39" s="113"/>
      <c r="F39" s="32"/>
      <c r="G39" s="32"/>
      <c r="H39" s="32"/>
      <c r="I39" s="32"/>
      <c r="J39" s="32"/>
      <c r="K39" s="32"/>
    </row>
    <row r="40" spans="1:12">
      <c r="A40" s="112" t="s">
        <v>276</v>
      </c>
      <c r="B40" s="238"/>
      <c r="C40" s="32"/>
      <c r="D40" s="32"/>
      <c r="E40" s="32"/>
      <c r="F40" s="32"/>
      <c r="G40" s="32"/>
      <c r="H40" s="32"/>
      <c r="I40" s="32"/>
      <c r="J40" s="32"/>
      <c r="K40" s="32"/>
    </row>
    <row r="41" spans="1:12">
      <c r="A41" s="112" t="s">
        <v>276</v>
      </c>
      <c r="B41" s="238"/>
      <c r="C41" s="32"/>
      <c r="D41" s="111" t="s">
        <v>279</v>
      </c>
      <c r="E41" s="32"/>
      <c r="F41" s="32"/>
      <c r="G41" s="32"/>
      <c r="H41" s="32"/>
      <c r="I41" s="32"/>
      <c r="J41" s="32"/>
      <c r="K41" s="32"/>
    </row>
    <row r="42" spans="1:12">
      <c r="A42" s="112" t="s">
        <v>276</v>
      </c>
      <c r="B42" s="238"/>
      <c r="C42" s="32"/>
      <c r="D42" s="111" t="s">
        <v>25</v>
      </c>
      <c r="E42" s="111" t="s">
        <v>280</v>
      </c>
      <c r="F42" s="32"/>
      <c r="G42" s="32"/>
      <c r="H42" s="32"/>
      <c r="I42" s="32"/>
      <c r="J42" s="32"/>
      <c r="K42" s="32"/>
    </row>
    <row r="43" spans="1:12">
      <c r="A43" s="112" t="s">
        <v>276</v>
      </c>
      <c r="B43" s="238"/>
      <c r="D43" s="89" t="s">
        <v>26</v>
      </c>
      <c r="E43" s="88" t="s">
        <v>282</v>
      </c>
      <c r="F43" s="32"/>
      <c r="G43" s="32"/>
      <c r="H43" s="32"/>
      <c r="I43" s="32"/>
      <c r="J43" s="32"/>
      <c r="K43" s="32"/>
    </row>
    <row r="46" spans="1:12">
      <c r="A46" s="74" t="s">
        <v>512</v>
      </c>
      <c r="B46" s="32"/>
      <c r="C46" s="32"/>
      <c r="D46" s="32"/>
      <c r="E46" s="32"/>
      <c r="F46" s="32"/>
      <c r="G46" s="74" t="s">
        <v>526</v>
      </c>
      <c r="H46" s="32"/>
      <c r="I46" s="32"/>
      <c r="J46" s="32"/>
      <c r="K46" s="32"/>
    </row>
    <row r="47" spans="1:12">
      <c r="A47" s="1" t="s">
        <v>309</v>
      </c>
      <c r="B47" s="32"/>
      <c r="C47" s="32"/>
      <c r="D47" s="32"/>
      <c r="E47" s="32"/>
      <c r="F47" s="32"/>
      <c r="G47" s="1" t="s">
        <v>527</v>
      </c>
      <c r="H47" s="32"/>
      <c r="I47" s="32"/>
      <c r="J47" s="32"/>
      <c r="K47" s="32"/>
    </row>
    <row r="48" spans="1:12">
      <c r="A48" s="146" t="s">
        <v>310</v>
      </c>
      <c r="B48" s="114" t="s">
        <v>311</v>
      </c>
      <c r="C48" s="114" t="s">
        <v>312</v>
      </c>
      <c r="D48" s="114" t="s">
        <v>313</v>
      </c>
      <c r="E48" s="147" t="s">
        <v>314</v>
      </c>
      <c r="F48" s="32"/>
      <c r="G48" s="244" t="s">
        <v>528</v>
      </c>
      <c r="I48" s="32"/>
      <c r="J48" s="32"/>
      <c r="K48" s="32"/>
    </row>
    <row r="49" spans="1:11">
      <c r="A49" s="97" t="s">
        <v>114</v>
      </c>
      <c r="B49" s="148"/>
      <c r="C49" s="149"/>
      <c r="D49" s="149"/>
      <c r="E49" s="150"/>
      <c r="F49" s="245" t="s">
        <v>114</v>
      </c>
      <c r="G49" s="246"/>
      <c r="I49" s="32"/>
      <c r="J49" s="32"/>
      <c r="K49" s="32"/>
    </row>
    <row r="50" spans="1:11">
      <c r="A50" s="97" t="s">
        <v>115</v>
      </c>
      <c r="B50" s="148"/>
      <c r="C50" s="149"/>
      <c r="D50" s="149"/>
      <c r="E50" s="150"/>
      <c r="F50" s="245" t="s">
        <v>115</v>
      </c>
      <c r="G50" s="247"/>
      <c r="I50" s="32"/>
      <c r="J50" s="32"/>
      <c r="K50" s="32"/>
    </row>
    <row r="51" spans="1:11">
      <c r="A51" s="97" t="s">
        <v>118</v>
      </c>
      <c r="B51" s="148"/>
      <c r="C51" s="149"/>
      <c r="D51" s="149"/>
      <c r="E51" s="150"/>
      <c r="F51" s="245" t="s">
        <v>118</v>
      </c>
      <c r="G51" s="246"/>
      <c r="I51" s="32"/>
      <c r="J51" s="32"/>
      <c r="K51" s="32"/>
    </row>
    <row r="52" spans="1:11">
      <c r="A52" s="97" t="s">
        <v>119</v>
      </c>
      <c r="B52" s="148"/>
      <c r="C52" s="149"/>
      <c r="D52" s="149"/>
      <c r="E52" s="150"/>
      <c r="F52" s="245" t="s">
        <v>119</v>
      </c>
      <c r="G52" s="247"/>
      <c r="I52" s="32"/>
      <c r="J52" s="32"/>
      <c r="K52" s="32"/>
    </row>
    <row r="53" spans="1:11">
      <c r="A53" s="97" t="s">
        <v>121</v>
      </c>
      <c r="B53" s="148"/>
      <c r="C53" s="149"/>
      <c r="D53" s="149"/>
      <c r="E53" s="150"/>
      <c r="F53" s="245" t="s">
        <v>121</v>
      </c>
      <c r="G53" s="246"/>
      <c r="I53" s="32"/>
      <c r="J53" s="32"/>
      <c r="K53" s="32"/>
    </row>
    <row r="54" spans="1:11">
      <c r="A54" s="97" t="s">
        <v>124</v>
      </c>
      <c r="B54" s="148"/>
      <c r="C54" s="149"/>
      <c r="D54" s="149"/>
      <c r="E54" s="150"/>
      <c r="F54" s="245" t="s">
        <v>124</v>
      </c>
      <c r="G54" s="247"/>
      <c r="I54" s="32"/>
      <c r="J54" s="32"/>
      <c r="K54" s="32"/>
    </row>
    <row r="55" spans="1:11">
      <c r="A55" s="97" t="s">
        <v>125</v>
      </c>
      <c r="B55" s="148"/>
      <c r="C55" s="149"/>
      <c r="D55" s="149"/>
      <c r="E55" s="150"/>
      <c r="F55" s="245" t="s">
        <v>125</v>
      </c>
      <c r="G55" s="246"/>
      <c r="I55" s="32"/>
      <c r="J55" s="32"/>
      <c r="K55" s="32"/>
    </row>
    <row r="56" spans="1:11">
      <c r="A56" s="97" t="s">
        <v>126</v>
      </c>
      <c r="B56" s="148"/>
      <c r="C56" s="149"/>
      <c r="D56" s="149"/>
      <c r="E56" s="150"/>
      <c r="F56" s="245" t="s">
        <v>126</v>
      </c>
      <c r="G56" s="247"/>
      <c r="I56" s="32"/>
      <c r="J56" s="32"/>
      <c r="K56" s="32"/>
    </row>
    <row r="57" spans="1:11">
      <c r="A57" s="97" t="s">
        <v>130</v>
      </c>
      <c r="B57" s="148"/>
      <c r="C57" s="149"/>
      <c r="D57" s="149"/>
      <c r="E57" s="150"/>
      <c r="F57" s="245" t="s">
        <v>130</v>
      </c>
      <c r="G57" s="246"/>
      <c r="I57" s="32"/>
      <c r="J57" s="32"/>
      <c r="K57" s="32"/>
    </row>
    <row r="58" spans="1:11">
      <c r="A58" s="151" t="s">
        <v>133</v>
      </c>
      <c r="B58" s="148"/>
      <c r="C58" s="152"/>
      <c r="D58" s="152"/>
      <c r="E58" s="150"/>
      <c r="F58" s="32"/>
      <c r="G58" s="32"/>
      <c r="H58" s="32"/>
      <c r="I58" s="32"/>
      <c r="J58" s="32"/>
      <c r="K58" s="32"/>
    </row>
    <row r="59" spans="1:11">
      <c r="A59" s="97" t="s">
        <v>315</v>
      </c>
      <c r="B59" s="148"/>
      <c r="C59" s="149"/>
      <c r="D59" s="149"/>
      <c r="E59" s="150"/>
      <c r="F59" s="32"/>
      <c r="G59" s="32"/>
      <c r="H59" s="32"/>
      <c r="I59" s="32"/>
      <c r="J59" s="32"/>
      <c r="K59" s="32"/>
    </row>
    <row r="60" spans="1:11">
      <c r="A60" s="97" t="s">
        <v>316</v>
      </c>
      <c r="B60" s="148"/>
      <c r="C60" s="149"/>
      <c r="D60" s="149"/>
      <c r="E60" s="150"/>
      <c r="F60" s="32"/>
      <c r="G60" s="32"/>
      <c r="H60" s="32"/>
      <c r="I60" s="32"/>
      <c r="J60" s="32"/>
      <c r="K60" s="32"/>
    </row>
    <row r="61" spans="1:11">
      <c r="A61" s="151" t="s">
        <v>317</v>
      </c>
      <c r="B61" s="148"/>
      <c r="C61" s="152"/>
      <c r="D61" s="152"/>
      <c r="E61" s="150"/>
      <c r="F61" s="32"/>
      <c r="G61" s="32"/>
      <c r="H61" s="32"/>
      <c r="I61" s="32"/>
      <c r="J61" s="32"/>
      <c r="K61" s="32"/>
    </row>
    <row r="62" spans="1:11">
      <c r="A62" s="97" t="s">
        <v>318</v>
      </c>
      <c r="B62" s="148"/>
      <c r="C62" s="149"/>
      <c r="D62" s="149"/>
      <c r="E62" s="150"/>
      <c r="F62" s="32"/>
      <c r="G62" s="32"/>
      <c r="H62" s="32"/>
      <c r="I62" s="32"/>
      <c r="J62" s="32"/>
      <c r="K62" s="32"/>
    </row>
    <row r="63" spans="1:11">
      <c r="A63" s="97" t="s">
        <v>319</v>
      </c>
      <c r="B63" s="148"/>
      <c r="C63" s="149"/>
      <c r="D63" s="149"/>
      <c r="E63" s="150"/>
      <c r="F63" s="32"/>
      <c r="G63" s="32"/>
      <c r="H63" s="32"/>
      <c r="I63" s="32"/>
      <c r="J63" s="32"/>
      <c r="K63" s="32"/>
    </row>
    <row r="64" spans="1:11">
      <c r="A64" s="97" t="s">
        <v>320</v>
      </c>
      <c r="B64" s="148"/>
      <c r="C64" s="149"/>
      <c r="D64" s="149"/>
      <c r="E64" s="150"/>
      <c r="F64" s="32"/>
      <c r="G64" s="32"/>
      <c r="H64" s="32"/>
      <c r="I64" s="32"/>
      <c r="J64" s="32"/>
      <c r="K64" s="32"/>
    </row>
    <row r="65" spans="1:33">
      <c r="A65" s="97" t="s">
        <v>321</v>
      </c>
      <c r="B65" s="148"/>
      <c r="C65" s="149"/>
      <c r="D65" s="149"/>
      <c r="E65" s="150"/>
      <c r="F65" s="32"/>
      <c r="G65" s="32"/>
      <c r="H65" s="32"/>
      <c r="I65" s="32"/>
      <c r="J65" s="32"/>
      <c r="K65" s="32"/>
    </row>
    <row r="66" spans="1:33">
      <c r="A66" s="97" t="s">
        <v>322</v>
      </c>
      <c r="B66" s="148"/>
      <c r="C66" s="149"/>
      <c r="D66" s="149"/>
      <c r="E66" s="150"/>
      <c r="F66" s="32"/>
      <c r="G66" s="32"/>
      <c r="H66" s="32"/>
      <c r="I66" s="32"/>
      <c r="J66" s="32"/>
      <c r="K66" s="32"/>
    </row>
    <row r="67" spans="1:33">
      <c r="A67" s="97" t="s">
        <v>323</v>
      </c>
      <c r="B67" s="148"/>
      <c r="C67" s="149"/>
      <c r="D67" s="149"/>
      <c r="E67" s="150"/>
      <c r="F67" s="32"/>
      <c r="G67" s="32"/>
      <c r="H67" s="32"/>
      <c r="I67" s="32"/>
      <c r="J67" s="32"/>
      <c r="K67" s="32"/>
    </row>
    <row r="68" spans="1:33">
      <c r="B68" s="32"/>
      <c r="C68" s="32"/>
      <c r="D68" s="32"/>
      <c r="E68" s="32"/>
      <c r="F68" s="32"/>
      <c r="G68" s="32"/>
      <c r="H68" s="32"/>
      <c r="I68" s="32"/>
      <c r="J68" s="32"/>
      <c r="K68" s="32"/>
    </row>
    <row r="70" spans="1:33" ht="24" hidden="1" customHeight="1"/>
    <row r="71" spans="1:33" s="249" customFormat="1" ht="19.5" hidden="1" customHeight="1">
      <c r="A71" s="51" t="s">
        <v>1</v>
      </c>
      <c r="B71" s="51" t="s">
        <v>151</v>
      </c>
      <c r="C71" s="51" t="s">
        <v>152</v>
      </c>
      <c r="D71" s="51" t="s">
        <v>153</v>
      </c>
      <c r="E71" s="51" t="s">
        <v>154</v>
      </c>
      <c r="F71" s="51" t="s">
        <v>171</v>
      </c>
      <c r="G71" s="51" t="s">
        <v>93</v>
      </c>
      <c r="H71" s="51" t="s">
        <v>205</v>
      </c>
      <c r="I71" s="51" t="s">
        <v>94</v>
      </c>
      <c r="J71" s="51" t="s">
        <v>91</v>
      </c>
      <c r="K71" s="51" t="s">
        <v>92</v>
      </c>
      <c r="L71" s="51" t="s">
        <v>6</v>
      </c>
      <c r="M71" s="51" t="s">
        <v>138</v>
      </c>
      <c r="N71" s="52" t="s">
        <v>25</v>
      </c>
      <c r="O71" s="52" t="s">
        <v>55</v>
      </c>
      <c r="P71" s="52" t="s">
        <v>134</v>
      </c>
      <c r="Q71" s="52" t="s">
        <v>135</v>
      </c>
      <c r="R71" s="52" t="s">
        <v>56</v>
      </c>
      <c r="S71" s="52" t="s">
        <v>57</v>
      </c>
      <c r="T71" s="52" t="s">
        <v>25</v>
      </c>
      <c r="U71" s="52"/>
      <c r="V71" s="52" t="s">
        <v>55</v>
      </c>
      <c r="W71" s="52" t="s">
        <v>134</v>
      </c>
      <c r="X71" s="52" t="s">
        <v>135</v>
      </c>
      <c r="Y71" s="52" t="s">
        <v>56</v>
      </c>
      <c r="Z71" s="52" t="s">
        <v>57</v>
      </c>
      <c r="AA71" s="62" t="s">
        <v>84</v>
      </c>
      <c r="AB71" s="62" t="s">
        <v>163</v>
      </c>
      <c r="AC71" s="62"/>
      <c r="AD71" s="62"/>
      <c r="AE71" s="250" t="s">
        <v>529</v>
      </c>
      <c r="AF71" s="248"/>
      <c r="AG71" s="248"/>
    </row>
    <row r="72" spans="1:33" hidden="1">
      <c r="A72" s="53" t="s">
        <v>157</v>
      </c>
      <c r="B72" s="54">
        <v>272800</v>
      </c>
      <c r="C72" s="54">
        <v>176000</v>
      </c>
      <c r="D72" s="54">
        <v>136400</v>
      </c>
      <c r="E72" s="54">
        <v>39600</v>
      </c>
      <c r="F72" s="54" t="s">
        <v>172</v>
      </c>
      <c r="G72" s="53" t="s">
        <v>7</v>
      </c>
      <c r="H72" s="59" t="s">
        <v>221</v>
      </c>
      <c r="I72" s="53" t="s">
        <v>565</v>
      </c>
      <c r="J72" s="53" t="s">
        <v>95</v>
      </c>
      <c r="K72" s="53" t="s">
        <v>103</v>
      </c>
      <c r="L72" s="53" t="s">
        <v>182</v>
      </c>
      <c r="M72" s="55" t="s">
        <v>139</v>
      </c>
      <c r="N72" s="53" t="s">
        <v>26</v>
      </c>
      <c r="O72" s="55" t="s">
        <v>63</v>
      </c>
      <c r="P72" s="55" t="s">
        <v>64</v>
      </c>
      <c r="Q72" s="55" t="s">
        <v>65</v>
      </c>
      <c r="R72" s="55" t="s">
        <v>66</v>
      </c>
      <c r="S72" s="55" t="s">
        <v>67</v>
      </c>
      <c r="T72" s="53" t="s">
        <v>141</v>
      </c>
      <c r="U72" s="53" t="s">
        <v>150</v>
      </c>
      <c r="V72" s="55" t="s">
        <v>143</v>
      </c>
      <c r="W72" s="55" t="s">
        <v>144</v>
      </c>
      <c r="X72" s="55" t="s">
        <v>145</v>
      </c>
      <c r="Y72" s="55" t="s">
        <v>146</v>
      </c>
      <c r="Z72" s="56" t="s">
        <v>147</v>
      </c>
      <c r="AA72" s="63" t="s">
        <v>180</v>
      </c>
      <c r="AB72" s="64" t="s">
        <v>513</v>
      </c>
      <c r="AC72" s="63" t="s">
        <v>229</v>
      </c>
      <c r="AD72" s="63" t="str">
        <f>$C$24&amp;"　様の約1ヵ月以内に発行した印鑑証明書を右記通数ご返送願います。※マイナンバーカードがあれば、コンビニ取得可能です"</f>
        <v>　様の約1ヵ月以内に発行した印鑑証明書を右記通数ご返送願います。※マイナンバーカードがあれば、コンビニ取得可能です</v>
      </c>
      <c r="AE72" s="251" t="s">
        <v>324</v>
      </c>
      <c r="AF72"/>
      <c r="AG72"/>
    </row>
    <row r="73" spans="1:33" ht="24.75" hidden="1">
      <c r="A73" s="53" t="s">
        <v>158</v>
      </c>
      <c r="B73" s="54">
        <v>437800</v>
      </c>
      <c r="C73" s="54">
        <v>341000</v>
      </c>
      <c r="D73" s="54">
        <v>218900</v>
      </c>
      <c r="E73" s="54">
        <v>122100</v>
      </c>
      <c r="F73" s="54" t="s">
        <v>173</v>
      </c>
      <c r="G73" s="53" t="s">
        <v>8</v>
      </c>
      <c r="H73" s="53" t="s">
        <v>220</v>
      </c>
      <c r="I73" s="53"/>
      <c r="J73" s="53" t="s">
        <v>96</v>
      </c>
      <c r="K73" s="53" t="s">
        <v>104</v>
      </c>
      <c r="L73" s="53" t="s">
        <v>183</v>
      </c>
      <c r="M73" s="55" t="s">
        <v>140</v>
      </c>
      <c r="N73" s="53" t="s">
        <v>27</v>
      </c>
      <c r="O73" s="55" t="s">
        <v>68</v>
      </c>
      <c r="P73" s="55" t="s">
        <v>69</v>
      </c>
      <c r="Q73" s="55" t="s">
        <v>70</v>
      </c>
      <c r="R73" s="55" t="s">
        <v>71</v>
      </c>
      <c r="S73" s="55" t="s">
        <v>78</v>
      </c>
      <c r="T73" s="53" t="s">
        <v>142</v>
      </c>
      <c r="U73" s="53" t="s">
        <v>233</v>
      </c>
      <c r="V73" s="55" t="s">
        <v>58</v>
      </c>
      <c r="W73" s="55" t="s">
        <v>59</v>
      </c>
      <c r="X73" s="55" t="s">
        <v>60</v>
      </c>
      <c r="Y73" s="55" t="s">
        <v>148</v>
      </c>
      <c r="Z73" s="55" t="s">
        <v>149</v>
      </c>
      <c r="AA73" s="65" t="s">
        <v>165</v>
      </c>
      <c r="AB73" s="64" t="s">
        <v>513</v>
      </c>
      <c r="AC73" s="65" t="s">
        <v>230</v>
      </c>
      <c r="AD73" s="65" t="s">
        <v>536</v>
      </c>
      <c r="AE73" s="251" t="s">
        <v>325</v>
      </c>
      <c r="AF73"/>
      <c r="AG73"/>
    </row>
    <row r="74" spans="1:33" hidden="1">
      <c r="A74" s="53" t="s">
        <v>156</v>
      </c>
      <c r="B74" s="54">
        <v>547800</v>
      </c>
      <c r="C74" s="54">
        <v>451000</v>
      </c>
      <c r="D74" s="54">
        <v>273900</v>
      </c>
      <c r="E74" s="54">
        <v>177100</v>
      </c>
      <c r="F74" s="54"/>
      <c r="G74" s="53" t="s">
        <v>9</v>
      </c>
      <c r="H74" s="53" t="s">
        <v>206</v>
      </c>
      <c r="I74" s="53"/>
      <c r="J74" s="53" t="s">
        <v>97</v>
      </c>
      <c r="K74" s="53" t="s">
        <v>105</v>
      </c>
      <c r="L74" s="53" t="s">
        <v>184</v>
      </c>
      <c r="M74" s="55"/>
      <c r="N74" s="53" t="s">
        <v>28</v>
      </c>
      <c r="O74" s="55" t="s">
        <v>72</v>
      </c>
      <c r="P74" s="57" t="s">
        <v>587</v>
      </c>
      <c r="Q74" s="55" t="s">
        <v>619</v>
      </c>
      <c r="R74" s="55" t="s">
        <v>73</v>
      </c>
      <c r="S74" s="55" t="s">
        <v>79</v>
      </c>
      <c r="T74" s="58"/>
      <c r="U74" s="58"/>
      <c r="V74" s="58"/>
      <c r="W74" s="58"/>
      <c r="X74" s="58"/>
      <c r="Y74" s="58"/>
      <c r="Z74" s="58"/>
      <c r="AA74" s="65" t="s">
        <v>166</v>
      </c>
      <c r="AB74" s="64" t="s">
        <v>168</v>
      </c>
      <c r="AC74" s="65" t="s">
        <v>537</v>
      </c>
      <c r="AD74" s="65" t="s">
        <v>231</v>
      </c>
      <c r="AE74" s="251" t="s">
        <v>326</v>
      </c>
      <c r="AF74"/>
      <c r="AG74"/>
    </row>
    <row r="75" spans="1:33" ht="33" hidden="1">
      <c r="A75" s="53" t="s">
        <v>224</v>
      </c>
      <c r="B75" s="54"/>
      <c r="C75" s="54"/>
      <c r="D75" s="54"/>
      <c r="E75" s="54"/>
      <c r="F75" s="54"/>
      <c r="G75" s="53" t="s">
        <v>10</v>
      </c>
      <c r="H75" s="53" t="s">
        <v>609</v>
      </c>
      <c r="I75" s="53"/>
      <c r="J75" s="53" t="s">
        <v>98</v>
      </c>
      <c r="K75" s="53" t="s">
        <v>106</v>
      </c>
      <c r="L75" s="53" t="s">
        <v>186</v>
      </c>
      <c r="M75" s="53"/>
      <c r="N75" s="53" t="s">
        <v>29</v>
      </c>
      <c r="O75" s="55" t="s">
        <v>74</v>
      </c>
      <c r="P75" s="55" t="s">
        <v>75</v>
      </c>
      <c r="Q75" s="55" t="s">
        <v>76</v>
      </c>
      <c r="R75" s="55" t="s">
        <v>77</v>
      </c>
      <c r="S75" s="55" t="s">
        <v>80</v>
      </c>
      <c r="T75" s="58"/>
      <c r="U75" s="58"/>
      <c r="V75" s="58"/>
      <c r="W75" s="58"/>
      <c r="X75" s="58"/>
      <c r="Y75" s="58"/>
      <c r="Z75" s="58"/>
      <c r="AA75" s="65" t="s">
        <v>240</v>
      </c>
      <c r="AB75" s="64" t="s">
        <v>167</v>
      </c>
      <c r="AC75" s="65" t="s">
        <v>232</v>
      </c>
      <c r="AD75" s="65" t="s">
        <v>538</v>
      </c>
      <c r="AE75" s="251" t="s">
        <v>327</v>
      </c>
      <c r="AF75"/>
      <c r="AG75"/>
    </row>
    <row r="76" spans="1:33" ht="24.75" hidden="1">
      <c r="A76" s="53" t="s">
        <v>236</v>
      </c>
      <c r="B76" s="54"/>
      <c r="C76" s="54"/>
      <c r="D76" s="54"/>
      <c r="E76" s="54"/>
      <c r="F76" s="54"/>
      <c r="G76" s="53" t="s">
        <v>11</v>
      </c>
      <c r="H76" s="53" t="s">
        <v>207</v>
      </c>
      <c r="I76" s="53"/>
      <c r="J76" s="53" t="s">
        <v>99</v>
      </c>
      <c r="K76" s="53" t="s">
        <v>107</v>
      </c>
      <c r="L76" s="53" t="s">
        <v>188</v>
      </c>
      <c r="M76" s="53"/>
      <c r="N76" s="53" t="s">
        <v>30</v>
      </c>
      <c r="O76" s="55" t="s">
        <v>58</v>
      </c>
      <c r="P76" s="55" t="s">
        <v>59</v>
      </c>
      <c r="Q76" s="55" t="s">
        <v>60</v>
      </c>
      <c r="R76" s="55" t="s">
        <v>61</v>
      </c>
      <c r="S76" s="55" t="s">
        <v>62</v>
      </c>
      <c r="T76" s="58"/>
      <c r="U76" s="58"/>
      <c r="V76" s="58"/>
      <c r="W76" s="58"/>
      <c r="X76" s="58"/>
      <c r="Y76" s="58"/>
      <c r="Z76" s="58"/>
      <c r="AA76" s="65" t="s">
        <v>525</v>
      </c>
      <c r="AB76" s="64" t="s">
        <v>175</v>
      </c>
      <c r="AC76" s="65" t="s">
        <v>237</v>
      </c>
      <c r="AD76" s="65" t="s">
        <v>238</v>
      </c>
      <c r="AE76" s="251" t="s">
        <v>328</v>
      </c>
      <c r="AF76"/>
      <c r="AG76"/>
    </row>
    <row r="77" spans="1:33" ht="24.75" hidden="1">
      <c r="A77" s="53"/>
      <c r="B77" s="54"/>
      <c r="C77" s="54"/>
      <c r="D77" s="54"/>
      <c r="E77" s="54"/>
      <c r="F77" s="54"/>
      <c r="G77" s="53" t="s">
        <v>12</v>
      </c>
      <c r="H77" s="53" t="s">
        <v>222</v>
      </c>
      <c r="I77" s="53"/>
      <c r="J77" s="53" t="s">
        <v>100</v>
      </c>
      <c r="K77" s="53" t="s">
        <v>108</v>
      </c>
      <c r="L77" s="53" t="s">
        <v>190</v>
      </c>
      <c r="M77" s="53"/>
      <c r="N77" s="53"/>
      <c r="O77" s="55"/>
      <c r="P77" s="55"/>
      <c r="Q77" s="55"/>
      <c r="R77" s="55"/>
      <c r="S77" s="55"/>
      <c r="T77" s="58"/>
      <c r="U77" s="58"/>
      <c r="V77" s="58"/>
      <c r="W77" s="58"/>
      <c r="X77" s="58"/>
      <c r="Y77" s="58"/>
      <c r="Z77" s="58"/>
      <c r="AA77" s="65" t="s">
        <v>170</v>
      </c>
      <c r="AB77" s="64" t="s">
        <v>177</v>
      </c>
      <c r="AC77" s="65" t="s">
        <v>268</v>
      </c>
      <c r="AD77" s="65" t="s">
        <v>269</v>
      </c>
      <c r="AE77" s="251" t="s">
        <v>329</v>
      </c>
      <c r="AF77"/>
      <c r="AG77"/>
    </row>
    <row r="78" spans="1:33" ht="24.75" hidden="1">
      <c r="A78" s="53"/>
      <c r="B78" s="54"/>
      <c r="C78" s="54"/>
      <c r="D78" s="54"/>
      <c r="E78" s="54"/>
      <c r="F78" s="54"/>
      <c r="G78" s="53" t="s">
        <v>281</v>
      </c>
      <c r="H78" s="53" t="s">
        <v>208</v>
      </c>
      <c r="I78" s="53"/>
      <c r="J78" s="53" t="s">
        <v>101</v>
      </c>
      <c r="K78" s="53" t="s">
        <v>109</v>
      </c>
      <c r="L78" s="53" t="s">
        <v>192</v>
      </c>
      <c r="M78" s="53"/>
      <c r="N78" s="53"/>
      <c r="O78" s="55"/>
      <c r="P78" s="55"/>
      <c r="Q78" s="55"/>
      <c r="R78" s="55"/>
      <c r="S78" s="55"/>
      <c r="T78" s="58"/>
      <c r="U78" s="58"/>
      <c r="V78" s="58"/>
      <c r="W78" s="58"/>
      <c r="X78" s="58"/>
      <c r="Y78" s="58"/>
      <c r="Z78" s="58"/>
      <c r="AA78" s="65" t="s">
        <v>241</v>
      </c>
      <c r="AB78" s="64" t="s">
        <v>177</v>
      </c>
      <c r="AC78" s="63" t="s">
        <v>284</v>
      </c>
      <c r="AD78" s="63" t="str">
        <f>$C$24&amp;"　様の約1ヵ月以内に発行した印鑑証明書を右記通数ご返送願います。"</f>
        <v>　様の約1ヵ月以内に発行した印鑑証明書を右記通数ご返送願います。</v>
      </c>
      <c r="AE78" s="251" t="s">
        <v>330</v>
      </c>
      <c r="AF78"/>
      <c r="AG78"/>
    </row>
    <row r="79" spans="1:33" hidden="1">
      <c r="A79" s="53"/>
      <c r="B79" s="54"/>
      <c r="C79" s="54"/>
      <c r="D79" s="54"/>
      <c r="E79" s="54"/>
      <c r="F79" s="54"/>
      <c r="G79" s="53" t="s">
        <v>13</v>
      </c>
      <c r="H79" s="53" t="s">
        <v>209</v>
      </c>
      <c r="I79" s="53"/>
      <c r="J79" s="53" t="s">
        <v>514</v>
      </c>
      <c r="K79" s="53" t="s">
        <v>110</v>
      </c>
      <c r="L79" s="53" t="s">
        <v>185</v>
      </c>
      <c r="M79" s="53"/>
      <c r="N79" s="53"/>
      <c r="O79" s="55"/>
      <c r="P79" s="55"/>
      <c r="Q79" s="55"/>
      <c r="R79" s="55"/>
      <c r="S79" s="55"/>
      <c r="T79" s="58"/>
      <c r="U79" s="58"/>
      <c r="V79" s="58"/>
      <c r="W79" s="58"/>
      <c r="X79" s="58"/>
      <c r="Y79" s="58"/>
      <c r="Z79" s="58"/>
      <c r="AA79" s="65" t="s">
        <v>181</v>
      </c>
      <c r="AB79" s="64" t="s">
        <v>102</v>
      </c>
      <c r="AC79" s="65"/>
      <c r="AD79" s="65"/>
      <c r="AE79" s="251" t="s">
        <v>331</v>
      </c>
      <c r="AF79"/>
      <c r="AG79"/>
    </row>
    <row r="80" spans="1:33" hidden="1">
      <c r="A80" s="53"/>
      <c r="B80" s="53"/>
      <c r="C80" s="53"/>
      <c r="D80" s="53"/>
      <c r="E80" s="53"/>
      <c r="F80" s="53"/>
      <c r="G80" s="53" t="s">
        <v>14</v>
      </c>
      <c r="H80" s="59" t="s">
        <v>610</v>
      </c>
      <c r="I80" s="53"/>
      <c r="J80" s="53" t="s">
        <v>551</v>
      </c>
      <c r="K80" s="53" t="s">
        <v>111</v>
      </c>
      <c r="L80" s="53" t="s">
        <v>187</v>
      </c>
      <c r="M80" s="55"/>
      <c r="N80" s="53"/>
      <c r="O80" s="55"/>
      <c r="P80" s="55"/>
      <c r="Q80" s="55"/>
      <c r="R80" s="55"/>
      <c r="S80" s="55"/>
      <c r="T80" s="58"/>
      <c r="U80" s="58"/>
      <c r="V80" s="58"/>
      <c r="W80" s="58"/>
      <c r="X80" s="58"/>
      <c r="Y80" s="58"/>
      <c r="Z80" s="58"/>
      <c r="AA80" s="65" t="s">
        <v>283</v>
      </c>
      <c r="AB80" s="64" t="s">
        <v>102</v>
      </c>
      <c r="AC80" s="65"/>
      <c r="AD80" s="65"/>
      <c r="AE80" s="251" t="s">
        <v>332</v>
      </c>
      <c r="AF80"/>
      <c r="AG80"/>
    </row>
    <row r="81" spans="1:33" hidden="1">
      <c r="A81" s="53"/>
      <c r="B81" s="53"/>
      <c r="C81" s="53"/>
      <c r="D81" s="53"/>
      <c r="E81" s="53"/>
      <c r="F81" s="53"/>
      <c r="G81" s="53" t="s">
        <v>15</v>
      </c>
      <c r="H81" s="53" t="s">
        <v>211</v>
      </c>
      <c r="I81" s="53"/>
      <c r="J81" s="53" t="s">
        <v>552</v>
      </c>
      <c r="K81" s="53" t="s">
        <v>112</v>
      </c>
      <c r="L81" s="53" t="s">
        <v>189</v>
      </c>
      <c r="M81" s="55"/>
      <c r="N81" s="53"/>
      <c r="O81" s="55"/>
      <c r="P81" s="55"/>
      <c r="Q81" s="55"/>
      <c r="R81" s="55"/>
      <c r="S81" s="55"/>
      <c r="T81" s="58"/>
      <c r="U81" s="58"/>
      <c r="V81" s="58"/>
      <c r="W81" s="58"/>
      <c r="X81" s="58"/>
      <c r="Y81" s="58"/>
      <c r="Z81" s="58"/>
      <c r="AA81" s="65" t="s">
        <v>272</v>
      </c>
      <c r="AB81" s="69" t="s">
        <v>515</v>
      </c>
      <c r="AC81" s="65"/>
      <c r="AD81" s="65"/>
      <c r="AE81" s="251" t="s">
        <v>333</v>
      </c>
      <c r="AF81"/>
      <c r="AG81"/>
    </row>
    <row r="82" spans="1:33" hidden="1">
      <c r="A82" s="53"/>
      <c r="B82" s="53"/>
      <c r="C82" s="53"/>
      <c r="D82" s="53"/>
      <c r="E82" s="53"/>
      <c r="F82" s="53"/>
      <c r="G82" s="53" t="s">
        <v>16</v>
      </c>
      <c r="H82" s="53" t="s">
        <v>219</v>
      </c>
      <c r="I82" s="53"/>
      <c r="J82" s="53" t="s">
        <v>553</v>
      </c>
      <c r="K82" s="53" t="s">
        <v>516</v>
      </c>
      <c r="L82" s="53" t="s">
        <v>191</v>
      </c>
      <c r="M82" s="55"/>
      <c r="N82" s="53"/>
      <c r="O82" s="55"/>
      <c r="P82" s="55"/>
      <c r="Q82" s="55"/>
      <c r="R82" s="55"/>
      <c r="S82" s="55"/>
      <c r="T82" s="58"/>
      <c r="U82" s="58"/>
      <c r="V82" s="58"/>
      <c r="W82" s="58"/>
      <c r="X82" s="58"/>
      <c r="Y82" s="58"/>
      <c r="Z82" s="58"/>
      <c r="AA82" s="65" t="s">
        <v>539</v>
      </c>
      <c r="AB82" s="64" t="s">
        <v>540</v>
      </c>
      <c r="AC82" s="65"/>
      <c r="AD82" s="65"/>
      <c r="AE82" s="251" t="s">
        <v>334</v>
      </c>
      <c r="AF82"/>
      <c r="AG82"/>
    </row>
    <row r="83" spans="1:33" hidden="1">
      <c r="A83" s="53"/>
      <c r="B83" s="53"/>
      <c r="C83" s="53"/>
      <c r="D83" s="53"/>
      <c r="E83" s="53"/>
      <c r="F83" s="53"/>
      <c r="G83" s="53" t="s">
        <v>17</v>
      </c>
      <c r="H83" s="53" t="s">
        <v>212</v>
      </c>
      <c r="I83" s="53"/>
      <c r="J83" s="53" t="s">
        <v>579</v>
      </c>
      <c r="K83" s="53" t="s">
        <v>517</v>
      </c>
      <c r="L83" s="53" t="s">
        <v>193</v>
      </c>
      <c r="M83" s="55"/>
      <c r="N83" s="53"/>
      <c r="O83" s="55"/>
      <c r="P83" s="55"/>
      <c r="Q83" s="55"/>
      <c r="R83" s="55"/>
      <c r="S83" s="55"/>
      <c r="T83" s="58"/>
      <c r="U83" s="58"/>
      <c r="V83" s="58"/>
      <c r="W83" s="58"/>
      <c r="X83" s="58"/>
      <c r="Y83" s="58"/>
      <c r="Z83" s="58"/>
      <c r="AA83" s="65"/>
      <c r="AB83" s="66"/>
      <c r="AC83" s="65"/>
      <c r="AD83" s="65"/>
      <c r="AE83" s="251" t="s">
        <v>335</v>
      </c>
      <c r="AF83"/>
      <c r="AG83"/>
    </row>
    <row r="84" spans="1:33" hidden="1">
      <c r="A84" s="53"/>
      <c r="B84" s="53"/>
      <c r="C84" s="53"/>
      <c r="D84" s="53"/>
      <c r="E84" s="53"/>
      <c r="F84" s="53"/>
      <c r="G84" s="53" t="s">
        <v>18</v>
      </c>
      <c r="H84" s="53" t="s">
        <v>213</v>
      </c>
      <c r="I84" s="53"/>
      <c r="J84" s="53" t="s">
        <v>580</v>
      </c>
      <c r="K84" s="53" t="s">
        <v>530</v>
      </c>
      <c r="L84" s="53" t="s">
        <v>194</v>
      </c>
      <c r="M84" s="55"/>
      <c r="N84" s="53"/>
      <c r="O84" s="55"/>
      <c r="P84" s="55"/>
      <c r="Q84" s="55"/>
      <c r="R84" s="55"/>
      <c r="S84" s="55"/>
      <c r="T84" s="58"/>
      <c r="U84" s="58"/>
      <c r="V84" s="58"/>
      <c r="W84" s="58"/>
      <c r="X84" s="58"/>
      <c r="Y84" s="58"/>
      <c r="Z84" s="58"/>
      <c r="AA84" s="65"/>
      <c r="AB84" s="66"/>
      <c r="AC84" s="65"/>
      <c r="AD84" s="65"/>
      <c r="AE84" s="251" t="s">
        <v>336</v>
      </c>
      <c r="AF84"/>
      <c r="AG84"/>
    </row>
    <row r="85" spans="1:33" hidden="1">
      <c r="A85" s="53"/>
      <c r="B85" s="53"/>
      <c r="C85" s="53"/>
      <c r="D85" s="53"/>
      <c r="E85" s="53"/>
      <c r="F85" s="53"/>
      <c r="G85" s="53" t="s">
        <v>282</v>
      </c>
      <c r="H85" s="53" t="s">
        <v>214</v>
      </c>
      <c r="I85" s="53"/>
      <c r="J85" s="53" t="s">
        <v>581</v>
      </c>
      <c r="K85" s="53" t="s">
        <v>531</v>
      </c>
      <c r="L85" s="53" t="s">
        <v>270</v>
      </c>
      <c r="M85" s="55"/>
      <c r="N85" s="53"/>
      <c r="O85" s="55"/>
      <c r="P85" s="55"/>
      <c r="Q85" s="55"/>
      <c r="R85" s="55"/>
      <c r="S85" s="55"/>
      <c r="T85" s="58"/>
      <c r="U85" s="58"/>
      <c r="V85" s="58"/>
      <c r="W85" s="58"/>
      <c r="X85" s="58"/>
      <c r="Y85" s="58"/>
      <c r="Z85" s="58"/>
      <c r="AA85" s="65"/>
      <c r="AB85" s="66"/>
      <c r="AC85" s="65"/>
      <c r="AD85" s="65"/>
      <c r="AE85" s="251" t="s">
        <v>337</v>
      </c>
      <c r="AF85"/>
      <c r="AG85"/>
    </row>
    <row r="86" spans="1:33" hidden="1">
      <c r="A86" s="53"/>
      <c r="B86" s="53"/>
      <c r="C86" s="53"/>
      <c r="D86" s="53"/>
      <c r="E86" s="53"/>
      <c r="F86" s="53"/>
      <c r="G86" s="53" t="s">
        <v>19</v>
      </c>
      <c r="H86" s="59" t="s">
        <v>611</v>
      </c>
      <c r="I86" s="53"/>
      <c r="J86" s="53" t="s">
        <v>598</v>
      </c>
      <c r="K86" s="53" t="s">
        <v>532</v>
      </c>
      <c r="L86" s="53" t="s">
        <v>203</v>
      </c>
      <c r="M86" s="55"/>
      <c r="N86" s="55"/>
      <c r="O86" s="55"/>
      <c r="P86" s="55"/>
      <c r="Q86" s="55"/>
      <c r="R86" s="55"/>
      <c r="S86" s="55"/>
      <c r="T86" s="58"/>
      <c r="U86" s="58"/>
      <c r="V86" s="58"/>
      <c r="W86" s="58"/>
      <c r="X86" s="58"/>
      <c r="Y86" s="58"/>
      <c r="Z86" s="58"/>
      <c r="AA86" s="65"/>
      <c r="AB86" s="66"/>
      <c r="AC86" s="65"/>
      <c r="AD86" s="65"/>
      <c r="AE86" s="251" t="s">
        <v>338</v>
      </c>
      <c r="AF86"/>
      <c r="AG86"/>
    </row>
    <row r="87" spans="1:33" hidden="1">
      <c r="A87" s="53"/>
      <c r="B87" s="53"/>
      <c r="C87" s="53"/>
      <c r="D87" s="53"/>
      <c r="E87" s="53"/>
      <c r="F87" s="53"/>
      <c r="G87" s="53" t="s">
        <v>20</v>
      </c>
      <c r="H87" s="53" t="s">
        <v>218</v>
      </c>
      <c r="I87" s="53"/>
      <c r="J87" s="53" t="s">
        <v>606</v>
      </c>
      <c r="K87" s="53" t="s">
        <v>554</v>
      </c>
      <c r="L87" s="53" t="s">
        <v>204</v>
      </c>
      <c r="M87" s="55"/>
      <c r="N87" s="55"/>
      <c r="O87" s="55"/>
      <c r="P87" s="55"/>
      <c r="Q87" s="55"/>
      <c r="R87" s="55"/>
      <c r="S87" s="55"/>
      <c r="T87" s="58"/>
      <c r="U87" s="58"/>
      <c r="V87" s="58"/>
      <c r="W87" s="58"/>
      <c r="X87" s="58"/>
      <c r="Y87" s="58"/>
      <c r="Z87" s="58"/>
      <c r="AA87" s="65"/>
      <c r="AB87" s="66"/>
      <c r="AC87" s="65"/>
      <c r="AD87" s="65"/>
      <c r="AE87" s="251" t="s">
        <v>339</v>
      </c>
      <c r="AF87"/>
      <c r="AG87"/>
    </row>
    <row r="88" spans="1:33" hidden="1">
      <c r="A88" s="53"/>
      <c r="B88" s="53"/>
      <c r="C88" s="53"/>
      <c r="D88" s="53"/>
      <c r="E88" s="53"/>
      <c r="F88" s="53"/>
      <c r="G88" s="53" t="s">
        <v>21</v>
      </c>
      <c r="H88" s="53" t="s">
        <v>612</v>
      </c>
      <c r="I88" s="53"/>
      <c r="J88" s="53" t="s">
        <v>607</v>
      </c>
      <c r="K88" s="53" t="s">
        <v>555</v>
      </c>
      <c r="L88" s="53" t="s">
        <v>201</v>
      </c>
      <c r="M88" s="53"/>
      <c r="N88" s="58"/>
      <c r="O88" s="58"/>
      <c r="P88" s="58"/>
      <c r="Q88" s="58"/>
      <c r="R88" s="58"/>
      <c r="S88" s="58"/>
      <c r="T88" s="58"/>
      <c r="U88" s="58"/>
      <c r="V88" s="58"/>
      <c r="W88" s="58"/>
      <c r="X88" s="58"/>
      <c r="Y88" s="58"/>
      <c r="Z88" s="58"/>
      <c r="AA88" s="65"/>
      <c r="AB88" s="66"/>
      <c r="AC88" s="65"/>
      <c r="AD88" s="65"/>
      <c r="AE88" s="251" t="s">
        <v>340</v>
      </c>
      <c r="AF88"/>
      <c r="AG88"/>
    </row>
    <row r="89" spans="1:33" hidden="1">
      <c r="A89" s="53"/>
      <c r="B89" s="53"/>
      <c r="C89" s="53"/>
      <c r="D89" s="53"/>
      <c r="E89" s="53"/>
      <c r="F89" s="53"/>
      <c r="G89" s="53" t="s">
        <v>22</v>
      </c>
      <c r="H89" s="53" t="s">
        <v>217</v>
      </c>
      <c r="I89" s="53"/>
      <c r="J89" s="53"/>
      <c r="K89" s="53" t="s">
        <v>558</v>
      </c>
      <c r="L89" s="53" t="s">
        <v>202</v>
      </c>
      <c r="M89" s="53"/>
      <c r="N89" s="58"/>
      <c r="O89" s="58"/>
      <c r="P89" s="58"/>
      <c r="Q89" s="58"/>
      <c r="R89" s="58"/>
      <c r="S89" s="58"/>
      <c r="T89" s="58"/>
      <c r="U89" s="58"/>
      <c r="V89" s="58"/>
      <c r="W89" s="58"/>
      <c r="X89" s="58"/>
      <c r="Y89" s="58"/>
      <c r="Z89" s="58"/>
      <c r="AA89" s="65"/>
      <c r="AB89" s="66"/>
      <c r="AC89" s="65"/>
      <c r="AD89" s="65"/>
      <c r="AE89" s="251" t="s">
        <v>341</v>
      </c>
      <c r="AF89"/>
      <c r="AG89"/>
    </row>
    <row r="90" spans="1:33" hidden="1">
      <c r="A90" s="53"/>
      <c r="B90" s="53"/>
      <c r="C90" s="53"/>
      <c r="D90" s="53"/>
      <c r="E90" s="53"/>
      <c r="F90" s="53"/>
      <c r="G90" s="53" t="s">
        <v>23</v>
      </c>
      <c r="H90" s="53" t="s">
        <v>223</v>
      </c>
      <c r="I90" s="53"/>
      <c r="J90" s="53"/>
      <c r="K90" s="53" t="s">
        <v>559</v>
      </c>
      <c r="L90" s="53" t="s">
        <v>195</v>
      </c>
      <c r="M90" s="53"/>
      <c r="N90" s="58"/>
      <c r="O90" s="58"/>
      <c r="P90" s="58"/>
      <c r="Q90" s="58"/>
      <c r="R90" s="58"/>
      <c r="S90" s="58"/>
      <c r="T90" s="58"/>
      <c r="U90" s="58"/>
      <c r="V90" s="58"/>
      <c r="W90" s="58"/>
      <c r="X90" s="58"/>
      <c r="Y90" s="58"/>
      <c r="Z90" s="58"/>
      <c r="AA90" s="65"/>
      <c r="AB90" s="66"/>
      <c r="AC90" s="65"/>
      <c r="AD90" s="65"/>
      <c r="AE90" s="251" t="s">
        <v>342</v>
      </c>
      <c r="AF90"/>
      <c r="AG90"/>
    </row>
    <row r="91" spans="1:33" hidden="1">
      <c r="A91" s="53"/>
      <c r="B91" s="53"/>
      <c r="C91" s="53"/>
      <c r="D91" s="53"/>
      <c r="E91" s="53"/>
      <c r="F91" s="53"/>
      <c r="G91" s="53" t="s">
        <v>24</v>
      </c>
      <c r="H91" s="53" t="s">
        <v>215</v>
      </c>
      <c r="I91" s="53"/>
      <c r="J91" s="53" t="s">
        <v>102</v>
      </c>
      <c r="K91" s="53" t="s">
        <v>560</v>
      </c>
      <c r="L91" s="53" t="s">
        <v>196</v>
      </c>
      <c r="M91" s="53"/>
      <c r="N91" s="58"/>
      <c r="O91" s="58"/>
      <c r="P91" s="58"/>
      <c r="Q91" s="58"/>
      <c r="R91" s="58"/>
      <c r="S91" s="58"/>
      <c r="T91" s="58"/>
      <c r="U91" s="58"/>
      <c r="V91" s="58"/>
      <c r="W91" s="58"/>
      <c r="X91" s="58"/>
      <c r="Y91" s="58"/>
      <c r="Z91" s="58"/>
      <c r="AA91" s="65"/>
      <c r="AB91" s="66"/>
      <c r="AC91" s="65"/>
      <c r="AD91" s="65"/>
      <c r="AE91" s="251" t="s">
        <v>343</v>
      </c>
      <c r="AF91"/>
      <c r="AG91"/>
    </row>
    <row r="92" spans="1:33" hidden="1">
      <c r="A92" s="53"/>
      <c r="B92" s="53"/>
      <c r="C92" s="53"/>
      <c r="D92" s="53"/>
      <c r="E92" s="53"/>
      <c r="F92" s="53"/>
      <c r="G92" s="53" t="s">
        <v>210</v>
      </c>
      <c r="H92" s="53" t="s">
        <v>613</v>
      </c>
      <c r="I92" s="53"/>
      <c r="J92" s="53" t="s">
        <v>102</v>
      </c>
      <c r="K92" s="53" t="s">
        <v>582</v>
      </c>
      <c r="L92" s="53" t="s">
        <v>197</v>
      </c>
      <c r="M92" s="53"/>
      <c r="N92" s="58"/>
      <c r="O92" s="58"/>
      <c r="P92" s="58"/>
      <c r="Q92" s="58"/>
      <c r="R92" s="58"/>
      <c r="S92" s="58"/>
      <c r="T92" s="58"/>
      <c r="U92" s="58"/>
      <c r="V92" s="58"/>
      <c r="W92" s="58"/>
      <c r="X92" s="58"/>
      <c r="Y92" s="58"/>
      <c r="Z92" s="58"/>
      <c r="AA92" s="65"/>
      <c r="AB92" s="66"/>
      <c r="AC92" s="65"/>
      <c r="AD92" s="65"/>
      <c r="AE92" s="251" t="s">
        <v>344</v>
      </c>
      <c r="AF92"/>
      <c r="AG92"/>
    </row>
    <row r="93" spans="1:33" hidden="1">
      <c r="A93" s="53"/>
      <c r="B93" s="53"/>
      <c r="C93" s="53"/>
      <c r="D93" s="53"/>
      <c r="E93" s="53"/>
      <c r="F93" s="53"/>
      <c r="G93" s="53" t="s">
        <v>518</v>
      </c>
      <c r="H93" s="53" t="s">
        <v>519</v>
      </c>
      <c r="I93" s="53"/>
      <c r="J93" s="53" t="s">
        <v>102</v>
      </c>
      <c r="K93" s="53" t="s">
        <v>564</v>
      </c>
      <c r="L93" s="53" t="s">
        <v>198</v>
      </c>
      <c r="M93" s="53"/>
      <c r="N93" s="58"/>
      <c r="O93" s="58"/>
      <c r="P93" s="58"/>
      <c r="Q93" s="58"/>
      <c r="R93" s="58"/>
      <c r="S93" s="58"/>
      <c r="T93" s="58"/>
      <c r="U93" s="58"/>
      <c r="V93" s="58"/>
      <c r="W93" s="58"/>
      <c r="X93" s="58"/>
      <c r="Y93" s="58"/>
      <c r="Z93" s="58"/>
      <c r="AA93" s="65"/>
      <c r="AB93" s="66"/>
      <c r="AC93" s="65"/>
      <c r="AD93" s="65"/>
      <c r="AE93" s="251" t="s">
        <v>345</v>
      </c>
      <c r="AF93"/>
      <c r="AG93"/>
    </row>
    <row r="94" spans="1:33" hidden="1">
      <c r="A94" s="53"/>
      <c r="B94" s="53"/>
      <c r="C94" s="53"/>
      <c r="D94" s="53"/>
      <c r="E94" s="53"/>
      <c r="F94" s="53"/>
      <c r="G94" s="53" t="s">
        <v>520</v>
      </c>
      <c r="H94" s="53" t="s">
        <v>216</v>
      </c>
      <c r="I94" s="53"/>
      <c r="J94" s="53" t="s">
        <v>102</v>
      </c>
      <c r="K94" s="53" t="s">
        <v>583</v>
      </c>
      <c r="L94" s="53" t="s">
        <v>199</v>
      </c>
      <c r="M94" s="55"/>
      <c r="N94" s="58"/>
      <c r="O94" s="58"/>
      <c r="P94" s="58"/>
      <c r="Q94" s="58"/>
      <c r="R94" s="58"/>
      <c r="S94" s="58"/>
      <c r="T94" s="58"/>
      <c r="U94" s="58"/>
      <c r="V94" s="58"/>
      <c r="W94" s="58"/>
      <c r="X94" s="58"/>
      <c r="Y94" s="58"/>
      <c r="Z94" s="58"/>
      <c r="AA94" s="65"/>
      <c r="AB94" s="66"/>
      <c r="AC94" s="65"/>
      <c r="AD94" s="65"/>
      <c r="AE94" s="251" t="s">
        <v>346</v>
      </c>
      <c r="AF94"/>
      <c r="AG94"/>
    </row>
    <row r="95" spans="1:33" hidden="1">
      <c r="A95" s="53"/>
      <c r="B95" s="53"/>
      <c r="C95" s="53"/>
      <c r="D95" s="53"/>
      <c r="E95" s="53"/>
      <c r="F95" s="53"/>
      <c r="G95" s="53" t="s">
        <v>521</v>
      </c>
      <c r="H95" s="53" t="s">
        <v>614</v>
      </c>
      <c r="I95" s="53"/>
      <c r="J95" s="53" t="s">
        <v>102</v>
      </c>
      <c r="K95" s="53" t="s">
        <v>584</v>
      </c>
      <c r="L95" s="53" t="s">
        <v>200</v>
      </c>
      <c r="M95" s="55"/>
      <c r="N95" s="58"/>
      <c r="O95" s="58"/>
      <c r="P95" s="58"/>
      <c r="Q95" s="58"/>
      <c r="R95" s="58"/>
      <c r="S95" s="58"/>
      <c r="T95" s="58"/>
      <c r="U95" s="58"/>
      <c r="V95" s="58"/>
      <c r="W95" s="58"/>
      <c r="X95" s="58"/>
      <c r="Y95" s="58"/>
      <c r="Z95" s="58"/>
      <c r="AA95" s="65"/>
      <c r="AB95" s="66"/>
      <c r="AC95" s="65"/>
      <c r="AD95" s="65"/>
      <c r="AE95" s="251" t="s">
        <v>347</v>
      </c>
      <c r="AF95"/>
      <c r="AG95"/>
    </row>
    <row r="96" spans="1:33" hidden="1">
      <c r="A96" s="53"/>
      <c r="B96" s="53"/>
      <c r="C96" s="53"/>
      <c r="D96" s="53"/>
      <c r="E96" s="53"/>
      <c r="F96" s="53"/>
      <c r="G96" s="53" t="s">
        <v>522</v>
      </c>
      <c r="H96" s="53" t="s">
        <v>77</v>
      </c>
      <c r="I96" s="53"/>
      <c r="J96" s="53"/>
      <c r="K96" s="53" t="s">
        <v>585</v>
      </c>
      <c r="L96" s="53" t="s">
        <v>271</v>
      </c>
      <c r="M96" s="55"/>
      <c r="N96" s="58"/>
      <c r="O96" s="58"/>
      <c r="P96" s="58"/>
      <c r="Q96" s="58"/>
      <c r="R96" s="58"/>
      <c r="S96" s="58"/>
      <c r="T96" s="58"/>
      <c r="U96" s="58"/>
      <c r="V96" s="58"/>
      <c r="W96" s="58"/>
      <c r="X96" s="58"/>
      <c r="Y96" s="58"/>
      <c r="Z96" s="58"/>
      <c r="AA96" s="65"/>
      <c r="AB96" s="66"/>
      <c r="AC96" s="65"/>
      <c r="AD96" s="65"/>
      <c r="AE96" s="251" t="s">
        <v>348</v>
      </c>
      <c r="AF96"/>
      <c r="AG96"/>
    </row>
    <row r="97" spans="1:33" hidden="1">
      <c r="A97" s="53"/>
      <c r="B97" s="53"/>
      <c r="C97" s="53"/>
      <c r="D97" s="53"/>
      <c r="E97" s="53"/>
      <c r="F97" s="53"/>
      <c r="G97" s="53" t="s">
        <v>533</v>
      </c>
      <c r="H97" s="53" t="s">
        <v>66</v>
      </c>
      <c r="I97" s="53"/>
      <c r="J97" s="53" t="s">
        <v>102</v>
      </c>
      <c r="K97" s="53" t="s">
        <v>586</v>
      </c>
      <c r="L97" s="53"/>
      <c r="M97" s="55"/>
      <c r="N97" s="58"/>
      <c r="O97" s="58"/>
      <c r="P97" s="58"/>
      <c r="Q97" s="58"/>
      <c r="R97" s="58"/>
      <c r="S97" s="58"/>
      <c r="T97" s="58"/>
      <c r="U97" s="58"/>
      <c r="V97" s="58"/>
      <c r="W97" s="58"/>
      <c r="X97" s="58"/>
      <c r="Y97" s="58"/>
      <c r="Z97" s="58"/>
      <c r="AA97" s="66"/>
      <c r="AB97" s="66"/>
      <c r="AC97" s="66"/>
      <c r="AD97" s="66"/>
      <c r="AE97" s="251" t="s">
        <v>349</v>
      </c>
      <c r="AF97"/>
      <c r="AG97"/>
    </row>
    <row r="98" spans="1:33" hidden="1">
      <c r="A98" s="53"/>
      <c r="B98" s="53"/>
      <c r="C98" s="53"/>
      <c r="D98" s="53"/>
      <c r="E98" s="53"/>
      <c r="F98" s="53"/>
      <c r="G98" s="53" t="s">
        <v>534</v>
      </c>
      <c r="H98" s="53" t="s">
        <v>615</v>
      </c>
      <c r="I98" s="53"/>
      <c r="J98" s="53" t="s">
        <v>102</v>
      </c>
      <c r="K98" s="53" t="s">
        <v>590</v>
      </c>
      <c r="L98" s="53"/>
      <c r="M98" s="55"/>
      <c r="N98" s="58"/>
      <c r="O98" s="58"/>
      <c r="P98" s="58"/>
      <c r="Q98" s="58"/>
      <c r="R98" s="58"/>
      <c r="S98" s="58"/>
      <c r="T98" s="58"/>
      <c r="U98" s="58"/>
      <c r="V98" s="58"/>
      <c r="W98" s="58"/>
      <c r="X98" s="58"/>
      <c r="Y98" s="58"/>
      <c r="Z98" s="58"/>
      <c r="AA98" s="66"/>
      <c r="AB98" s="66"/>
      <c r="AC98" s="66"/>
      <c r="AD98" s="66"/>
      <c r="AE98" s="251" t="s">
        <v>350</v>
      </c>
      <c r="AF98"/>
      <c r="AG98"/>
    </row>
    <row r="99" spans="1:33" hidden="1">
      <c r="A99" s="53"/>
      <c r="B99" s="53"/>
      <c r="C99" s="53"/>
      <c r="D99" s="53"/>
      <c r="E99" s="53"/>
      <c r="F99" s="53"/>
      <c r="G99" s="53" t="s">
        <v>547</v>
      </c>
      <c r="H99" s="53" t="s">
        <v>592</v>
      </c>
      <c r="I99" s="53"/>
      <c r="J99" s="53" t="s">
        <v>102</v>
      </c>
      <c r="K99" s="53" t="s">
        <v>591</v>
      </c>
      <c r="L99" s="53"/>
      <c r="M99" s="55"/>
      <c r="N99" s="58"/>
      <c r="O99" s="58"/>
      <c r="P99" s="58"/>
      <c r="Q99" s="58"/>
      <c r="R99" s="58"/>
      <c r="S99" s="58"/>
      <c r="T99" s="58"/>
      <c r="U99" s="58"/>
      <c r="V99" s="58"/>
      <c r="W99" s="58"/>
      <c r="X99" s="58"/>
      <c r="Y99" s="58"/>
      <c r="Z99" s="58"/>
      <c r="AA99" s="66"/>
      <c r="AB99" s="66"/>
      <c r="AC99" s="66"/>
      <c r="AD99" s="66"/>
      <c r="AE99" s="251" t="s">
        <v>351</v>
      </c>
      <c r="AF99"/>
      <c r="AG99"/>
    </row>
    <row r="100" spans="1:33" hidden="1">
      <c r="A100" s="53"/>
      <c r="B100" s="53"/>
      <c r="C100" s="53"/>
      <c r="D100" s="53"/>
      <c r="E100" s="53"/>
      <c r="F100" s="53"/>
      <c r="G100" s="53" t="s">
        <v>548</v>
      </c>
      <c r="H100" s="53" t="s">
        <v>593</v>
      </c>
      <c r="I100" s="53"/>
      <c r="J100" s="58"/>
      <c r="K100" s="53" t="s">
        <v>608</v>
      </c>
      <c r="L100" s="53"/>
      <c r="M100" s="55"/>
      <c r="N100" s="58"/>
      <c r="O100" s="58"/>
      <c r="P100" s="58"/>
      <c r="Q100" s="58"/>
      <c r="R100" s="58"/>
      <c r="S100" s="58"/>
      <c r="T100" s="58"/>
      <c r="U100" s="58"/>
      <c r="V100" s="58"/>
      <c r="W100" s="58"/>
      <c r="X100" s="58"/>
      <c r="Y100" s="58"/>
      <c r="Z100" s="58"/>
      <c r="AA100" s="66"/>
      <c r="AB100" s="66"/>
      <c r="AC100" s="66"/>
      <c r="AD100" s="66"/>
      <c r="AE100" s="251" t="s">
        <v>352</v>
      </c>
      <c r="AF100"/>
      <c r="AG100"/>
    </row>
    <row r="101" spans="1:33" hidden="1">
      <c r="A101" s="53"/>
      <c r="B101" s="53"/>
      <c r="C101" s="53"/>
      <c r="D101" s="53"/>
      <c r="E101" s="53"/>
      <c r="F101" s="53"/>
      <c r="G101" s="53" t="s">
        <v>549</v>
      </c>
      <c r="H101" s="53" t="s">
        <v>550</v>
      </c>
      <c r="I101" s="58"/>
      <c r="J101" s="58"/>
      <c r="K101" s="53" t="s">
        <v>626</v>
      </c>
      <c r="L101" s="58"/>
      <c r="M101" s="58"/>
      <c r="N101" s="58"/>
      <c r="O101" s="58"/>
      <c r="P101" s="58"/>
      <c r="Q101" s="58"/>
      <c r="R101" s="58"/>
      <c r="S101" s="58"/>
      <c r="T101" s="58"/>
      <c r="U101" s="58"/>
      <c r="V101" s="58"/>
      <c r="W101" s="58"/>
      <c r="X101" s="58"/>
      <c r="Y101" s="58"/>
      <c r="Z101" s="58"/>
      <c r="AA101" s="66"/>
      <c r="AB101" s="66"/>
      <c r="AC101" s="66"/>
      <c r="AD101" s="66"/>
      <c r="AE101" s="251" t="s">
        <v>353</v>
      </c>
      <c r="AF101"/>
      <c r="AG101"/>
    </row>
    <row r="102" spans="1:33" hidden="1">
      <c r="A102" s="53"/>
      <c r="B102" s="53"/>
      <c r="C102" s="53"/>
      <c r="D102" s="53"/>
      <c r="E102" s="53"/>
      <c r="F102" s="53"/>
      <c r="G102" s="53" t="s">
        <v>556</v>
      </c>
      <c r="H102" s="59" t="s">
        <v>594</v>
      </c>
      <c r="I102" s="58"/>
      <c r="J102" s="58"/>
      <c r="K102" s="53" t="s">
        <v>624</v>
      </c>
      <c r="L102" s="58"/>
      <c r="M102" s="58"/>
      <c r="N102" s="58"/>
      <c r="O102" s="58"/>
      <c r="P102" s="58"/>
      <c r="Q102" s="58"/>
      <c r="R102" s="58"/>
      <c r="S102" s="58"/>
      <c r="T102" s="58"/>
      <c r="U102" s="58"/>
      <c r="V102" s="58"/>
      <c r="W102" s="58"/>
      <c r="X102" s="58"/>
      <c r="Y102" s="58"/>
      <c r="Z102" s="58"/>
      <c r="AA102" s="66"/>
      <c r="AB102" s="66"/>
      <c r="AC102" s="66"/>
      <c r="AD102" s="66"/>
      <c r="AE102" s="251" t="s">
        <v>354</v>
      </c>
      <c r="AF102"/>
      <c r="AG102"/>
    </row>
    <row r="103" spans="1:33" hidden="1">
      <c r="A103" s="53"/>
      <c r="B103" s="53"/>
      <c r="C103" s="53"/>
      <c r="D103" s="53"/>
      <c r="E103" s="53"/>
      <c r="F103" s="53"/>
      <c r="G103" s="53" t="s">
        <v>557</v>
      </c>
      <c r="H103" s="53" t="s">
        <v>595</v>
      </c>
      <c r="I103" s="58"/>
      <c r="J103" s="58"/>
      <c r="K103" s="53" t="s">
        <v>625</v>
      </c>
      <c r="L103" s="58"/>
      <c r="M103" s="58"/>
      <c r="N103" s="58"/>
      <c r="O103" s="58"/>
      <c r="P103" s="58"/>
      <c r="Q103" s="58"/>
      <c r="R103" s="58"/>
      <c r="S103" s="58"/>
      <c r="T103" s="58"/>
      <c r="U103" s="58"/>
      <c r="V103" s="58"/>
      <c r="W103" s="58"/>
      <c r="X103" s="58"/>
      <c r="Y103" s="58"/>
      <c r="Z103" s="58"/>
      <c r="AA103" s="66"/>
      <c r="AB103" s="66"/>
      <c r="AC103" s="66"/>
      <c r="AD103" s="66"/>
      <c r="AE103" s="251" t="s">
        <v>355</v>
      </c>
      <c r="AF103"/>
      <c r="AG103"/>
    </row>
    <row r="104" spans="1:33" hidden="1">
      <c r="A104" s="53"/>
      <c r="B104" s="53"/>
      <c r="C104" s="53"/>
      <c r="D104" s="53"/>
      <c r="E104" s="53"/>
      <c r="F104" s="53"/>
      <c r="G104" s="53" t="s">
        <v>562</v>
      </c>
      <c r="H104" s="53" t="s">
        <v>561</v>
      </c>
      <c r="I104" s="58"/>
      <c r="J104" s="58"/>
      <c r="K104" s="58"/>
      <c r="L104" s="58"/>
      <c r="M104" s="58"/>
      <c r="N104" s="58"/>
      <c r="O104" s="58"/>
      <c r="P104" s="58"/>
      <c r="Q104" s="58"/>
      <c r="R104" s="58"/>
      <c r="S104" s="58"/>
      <c r="T104" s="58"/>
      <c r="U104" s="58"/>
      <c r="V104" s="58"/>
      <c r="W104" s="58"/>
      <c r="X104" s="58"/>
      <c r="Y104" s="58"/>
      <c r="Z104" s="58"/>
      <c r="AA104" s="66"/>
      <c r="AB104" s="66"/>
      <c r="AC104" s="66"/>
      <c r="AD104" s="66"/>
      <c r="AE104" s="251"/>
      <c r="AF104"/>
      <c r="AG104"/>
    </row>
    <row r="105" spans="1:33" hidden="1">
      <c r="A105" s="53"/>
      <c r="B105" s="53"/>
      <c r="C105" s="53"/>
      <c r="D105" s="53"/>
      <c r="E105" s="53"/>
      <c r="F105" s="53"/>
      <c r="G105" s="53" t="s">
        <v>563</v>
      </c>
      <c r="H105" s="53" t="s">
        <v>616</v>
      </c>
      <c r="I105" s="58"/>
      <c r="J105" s="58"/>
      <c r="K105" s="58"/>
      <c r="L105" s="58"/>
      <c r="M105" s="58"/>
      <c r="N105" s="58"/>
      <c r="O105" s="58"/>
      <c r="P105" s="58"/>
      <c r="Q105" s="58"/>
      <c r="R105" s="58"/>
      <c r="S105" s="58"/>
      <c r="T105" s="58"/>
      <c r="U105" s="58"/>
      <c r="V105" s="58"/>
      <c r="W105" s="58"/>
      <c r="X105" s="58"/>
      <c r="Y105" s="58"/>
      <c r="Z105" s="58"/>
      <c r="AA105" s="66"/>
      <c r="AB105" s="66"/>
      <c r="AC105" s="66"/>
      <c r="AD105" s="66"/>
      <c r="AE105" s="251"/>
      <c r="AF105"/>
      <c r="AG105"/>
    </row>
    <row r="106" spans="1:33" hidden="1">
      <c r="A106" s="53"/>
      <c r="B106" s="53"/>
      <c r="C106" s="53"/>
      <c r="D106" s="53"/>
      <c r="E106" s="53"/>
      <c r="F106" s="53"/>
      <c r="G106" s="53" t="s">
        <v>570</v>
      </c>
      <c r="H106" s="53" t="s">
        <v>566</v>
      </c>
      <c r="I106" s="58"/>
      <c r="J106" s="58"/>
      <c r="K106" s="58"/>
      <c r="L106" s="58"/>
      <c r="M106" s="58"/>
      <c r="N106" s="58"/>
      <c r="O106" s="58"/>
      <c r="P106" s="58"/>
      <c r="Q106" s="58"/>
      <c r="R106" s="58"/>
      <c r="S106" s="58"/>
      <c r="T106" s="58"/>
      <c r="U106" s="58"/>
      <c r="V106" s="58"/>
      <c r="W106" s="58"/>
      <c r="X106" s="58"/>
      <c r="Y106" s="58"/>
      <c r="Z106" s="58"/>
      <c r="AA106" s="66"/>
      <c r="AB106" s="66"/>
      <c r="AC106" s="66"/>
      <c r="AD106" s="66"/>
      <c r="AE106" s="251"/>
      <c r="AF106"/>
      <c r="AG106"/>
    </row>
    <row r="107" spans="1:33" hidden="1">
      <c r="A107" s="53"/>
      <c r="B107" s="53"/>
      <c r="C107" s="53"/>
      <c r="D107" s="53"/>
      <c r="E107" s="53"/>
      <c r="F107" s="53"/>
      <c r="G107" s="53" t="s">
        <v>567</v>
      </c>
      <c r="H107" s="53" t="s">
        <v>599</v>
      </c>
      <c r="I107" s="58"/>
      <c r="J107" s="58"/>
      <c r="K107" s="58"/>
      <c r="L107" s="58"/>
      <c r="M107" s="58"/>
      <c r="N107" s="58"/>
      <c r="O107" s="58"/>
      <c r="P107" s="58"/>
      <c r="Q107" s="58"/>
      <c r="R107" s="58"/>
      <c r="S107" s="58"/>
      <c r="T107" s="58"/>
      <c r="U107" s="58"/>
      <c r="V107" s="58"/>
      <c r="W107" s="58"/>
      <c r="X107" s="58"/>
      <c r="Y107" s="58"/>
      <c r="Z107" s="58"/>
      <c r="AA107" s="66"/>
      <c r="AB107" s="66"/>
      <c r="AC107" s="66"/>
      <c r="AD107" s="66"/>
      <c r="AE107" s="251" t="s">
        <v>356</v>
      </c>
      <c r="AF107"/>
      <c r="AG107"/>
    </row>
    <row r="108" spans="1:33" hidden="1">
      <c r="A108" s="53"/>
      <c r="B108" s="53"/>
      <c r="C108" s="53"/>
      <c r="D108" s="53"/>
      <c r="E108" s="53"/>
      <c r="F108" s="53"/>
      <c r="G108" s="53" t="s">
        <v>568</v>
      </c>
      <c r="H108" s="53" t="s">
        <v>569</v>
      </c>
      <c r="I108" s="58"/>
      <c r="J108" s="58"/>
      <c r="K108" s="58"/>
      <c r="L108" s="58"/>
      <c r="M108" s="58"/>
      <c r="N108" s="58"/>
      <c r="O108" s="58"/>
      <c r="P108" s="58"/>
      <c r="Q108" s="58"/>
      <c r="R108" s="58"/>
      <c r="S108" s="58"/>
      <c r="T108" s="58"/>
      <c r="U108" s="58"/>
      <c r="V108" s="58"/>
      <c r="W108" s="58"/>
      <c r="X108" s="58"/>
      <c r="Y108" s="58"/>
      <c r="Z108" s="58"/>
      <c r="AA108" s="66"/>
      <c r="AB108" s="66"/>
      <c r="AC108" s="66"/>
      <c r="AD108" s="66"/>
      <c r="AE108" s="251"/>
      <c r="AF108"/>
      <c r="AG108"/>
    </row>
    <row r="109" spans="1:33" hidden="1">
      <c r="A109" s="53"/>
      <c r="B109" s="53"/>
      <c r="C109" s="53"/>
      <c r="D109" s="53"/>
      <c r="E109" s="53"/>
      <c r="F109" s="53"/>
      <c r="G109" s="53" t="s">
        <v>571</v>
      </c>
      <c r="H109" s="53" t="s">
        <v>572</v>
      </c>
      <c r="I109" s="58"/>
      <c r="J109" s="58"/>
      <c r="K109" s="58"/>
      <c r="L109" s="58"/>
      <c r="M109" s="58"/>
      <c r="N109" s="58"/>
      <c r="O109" s="58"/>
      <c r="P109" s="58"/>
      <c r="Q109" s="58"/>
      <c r="R109" s="58"/>
      <c r="S109" s="58"/>
      <c r="T109" s="58"/>
      <c r="U109" s="58"/>
      <c r="V109" s="58"/>
      <c r="W109" s="58"/>
      <c r="X109" s="58"/>
      <c r="Y109" s="58"/>
      <c r="Z109" s="58"/>
      <c r="AA109" s="66"/>
      <c r="AB109" s="66"/>
      <c r="AC109" s="66"/>
      <c r="AD109" s="66"/>
      <c r="AE109" s="251"/>
      <c r="AF109"/>
      <c r="AG109"/>
    </row>
    <row r="110" spans="1:33" hidden="1">
      <c r="A110" s="53"/>
      <c r="B110" s="53"/>
      <c r="C110" s="53"/>
      <c r="D110" s="53"/>
      <c r="E110" s="53"/>
      <c r="F110" s="53"/>
      <c r="G110" s="53" t="s">
        <v>573</v>
      </c>
      <c r="H110" s="53" t="s">
        <v>574</v>
      </c>
      <c r="I110" s="58"/>
      <c r="J110" s="58"/>
      <c r="K110" s="58"/>
      <c r="L110" s="58"/>
      <c r="M110" s="58"/>
      <c r="N110" s="58"/>
      <c r="O110" s="58"/>
      <c r="P110" s="58"/>
      <c r="Q110" s="58"/>
      <c r="R110" s="58"/>
      <c r="S110" s="58"/>
      <c r="T110" s="58"/>
      <c r="U110" s="58"/>
      <c r="V110" s="58"/>
      <c r="W110" s="58"/>
      <c r="X110" s="58"/>
      <c r="Y110" s="58"/>
      <c r="Z110" s="58"/>
      <c r="AA110" s="66"/>
      <c r="AB110" s="66"/>
      <c r="AC110" s="66"/>
      <c r="AD110" s="66"/>
      <c r="AE110" s="251"/>
      <c r="AF110"/>
      <c r="AG110"/>
    </row>
    <row r="111" spans="1:33" hidden="1">
      <c r="A111" s="53"/>
      <c r="B111" s="53"/>
      <c r="C111" s="53"/>
      <c r="D111" s="53"/>
      <c r="E111" s="53"/>
      <c r="F111" s="53"/>
      <c r="G111" s="53" t="s">
        <v>575</v>
      </c>
      <c r="H111" s="53" t="s">
        <v>576</v>
      </c>
      <c r="I111" s="58"/>
      <c r="J111" s="58"/>
      <c r="K111" s="58"/>
      <c r="L111" s="58"/>
      <c r="M111" s="58"/>
      <c r="N111" s="58"/>
      <c r="O111" s="58"/>
      <c r="P111" s="58"/>
      <c r="Q111" s="58"/>
      <c r="R111" s="58"/>
      <c r="S111" s="58"/>
      <c r="T111" s="58"/>
      <c r="U111" s="58"/>
      <c r="V111" s="58"/>
      <c r="W111" s="58"/>
      <c r="X111" s="58"/>
      <c r="Y111" s="58"/>
      <c r="Z111" s="58"/>
      <c r="AA111" s="66"/>
      <c r="AB111" s="66"/>
      <c r="AC111" s="66"/>
      <c r="AD111" s="66"/>
      <c r="AE111" s="251"/>
      <c r="AF111"/>
      <c r="AG111"/>
    </row>
    <row r="112" spans="1:33" hidden="1">
      <c r="A112" s="53"/>
      <c r="B112" s="53"/>
      <c r="C112" s="53"/>
      <c r="D112" s="53"/>
      <c r="E112" s="53"/>
      <c r="F112" s="53"/>
      <c r="G112" s="53" t="s">
        <v>577</v>
      </c>
      <c r="H112" s="53" t="s">
        <v>578</v>
      </c>
      <c r="I112" s="58"/>
      <c r="J112" s="58"/>
      <c r="K112" s="58"/>
      <c r="L112" s="58"/>
      <c r="M112" s="58"/>
      <c r="N112" s="58"/>
      <c r="O112" s="58"/>
      <c r="P112" s="58"/>
      <c r="Q112" s="58"/>
      <c r="R112" s="58"/>
      <c r="S112" s="58"/>
      <c r="T112" s="58"/>
      <c r="U112" s="58"/>
      <c r="V112" s="58"/>
      <c r="W112" s="58"/>
      <c r="X112" s="58"/>
      <c r="Y112" s="58"/>
      <c r="Z112" s="58"/>
      <c r="AA112" s="66"/>
      <c r="AB112" s="66"/>
      <c r="AC112" s="66"/>
      <c r="AD112" s="66"/>
      <c r="AE112" s="251"/>
      <c r="AF112"/>
      <c r="AG112"/>
    </row>
    <row r="113" spans="1:33" hidden="1">
      <c r="A113" s="53"/>
      <c r="B113" s="53"/>
      <c r="C113" s="53"/>
      <c r="D113" s="53"/>
      <c r="E113" s="53"/>
      <c r="F113" s="53"/>
      <c r="G113" s="53" t="s">
        <v>589</v>
      </c>
      <c r="H113" s="53" t="s">
        <v>588</v>
      </c>
      <c r="I113" s="58"/>
      <c r="J113" s="58"/>
      <c r="K113" s="58"/>
      <c r="L113" s="58"/>
      <c r="M113" s="58"/>
      <c r="N113" s="58"/>
      <c r="O113" s="58"/>
      <c r="P113" s="58"/>
      <c r="Q113" s="58"/>
      <c r="R113" s="58"/>
      <c r="S113" s="58"/>
      <c r="T113" s="58"/>
      <c r="U113" s="58"/>
      <c r="V113" s="58"/>
      <c r="W113" s="58"/>
      <c r="X113" s="58"/>
      <c r="Y113" s="58"/>
      <c r="Z113" s="58"/>
      <c r="AA113" s="66"/>
      <c r="AB113" s="66"/>
      <c r="AC113" s="66"/>
      <c r="AD113" s="66"/>
      <c r="AE113" s="251"/>
      <c r="AF113"/>
      <c r="AG113"/>
    </row>
    <row r="114" spans="1:33" hidden="1">
      <c r="A114" s="53"/>
      <c r="B114" s="53"/>
      <c r="C114" s="53"/>
      <c r="D114" s="53"/>
      <c r="E114" s="53"/>
      <c r="F114" s="53"/>
      <c r="G114" s="53" t="s">
        <v>596</v>
      </c>
      <c r="H114" s="53" t="s">
        <v>597</v>
      </c>
      <c r="I114" s="58"/>
      <c r="J114" s="58"/>
      <c r="K114" s="58"/>
      <c r="L114" s="58"/>
      <c r="M114" s="58"/>
      <c r="N114" s="58"/>
      <c r="O114" s="58"/>
      <c r="P114" s="58"/>
      <c r="Q114" s="58"/>
      <c r="R114" s="58"/>
      <c r="S114" s="58"/>
      <c r="T114" s="58"/>
      <c r="U114" s="58"/>
      <c r="V114" s="58"/>
      <c r="W114" s="58"/>
      <c r="X114" s="58"/>
      <c r="Y114" s="58"/>
      <c r="Z114" s="58"/>
      <c r="AA114" s="66"/>
      <c r="AB114" s="66"/>
      <c r="AC114" s="66"/>
      <c r="AD114" s="66"/>
      <c r="AE114" s="251"/>
      <c r="AF114"/>
      <c r="AG114"/>
    </row>
    <row r="115" spans="1:33" hidden="1">
      <c r="A115" s="53"/>
      <c r="B115" s="53"/>
      <c r="C115" s="53"/>
      <c r="D115" s="53"/>
      <c r="E115" s="53"/>
      <c r="F115" s="53"/>
      <c r="G115" s="53" t="s">
        <v>600</v>
      </c>
      <c r="H115" s="59" t="s">
        <v>617</v>
      </c>
      <c r="I115" s="58"/>
      <c r="J115" s="58"/>
      <c r="K115" s="58"/>
      <c r="L115" s="58"/>
      <c r="M115" s="58"/>
      <c r="N115" s="58"/>
      <c r="O115" s="58"/>
      <c r="P115" s="58"/>
      <c r="Q115" s="58"/>
      <c r="R115" s="58"/>
      <c r="S115" s="58"/>
      <c r="T115" s="58"/>
      <c r="U115" s="58"/>
      <c r="V115" s="58"/>
      <c r="W115" s="58"/>
      <c r="X115" s="58"/>
      <c r="Y115" s="58"/>
      <c r="Z115" s="58"/>
      <c r="AA115" s="66"/>
      <c r="AB115" s="66"/>
      <c r="AC115" s="66"/>
      <c r="AD115" s="66"/>
      <c r="AE115" s="251"/>
      <c r="AF115"/>
      <c r="AG115"/>
    </row>
    <row r="116" spans="1:33" hidden="1">
      <c r="A116" s="53"/>
      <c r="B116" s="53"/>
      <c r="C116" s="53"/>
      <c r="D116" s="53"/>
      <c r="E116" s="53"/>
      <c r="F116" s="53"/>
      <c r="G116" s="53" t="s">
        <v>601</v>
      </c>
      <c r="H116" s="53" t="s">
        <v>618</v>
      </c>
      <c r="I116" s="58"/>
      <c r="J116" s="58"/>
      <c r="K116" s="58"/>
      <c r="L116" s="58"/>
      <c r="M116" s="58"/>
      <c r="N116" s="58"/>
      <c r="O116" s="58"/>
      <c r="P116" s="58"/>
      <c r="Q116" s="58"/>
      <c r="R116" s="58"/>
      <c r="S116" s="58"/>
      <c r="T116" s="58"/>
      <c r="U116" s="58"/>
      <c r="V116" s="58"/>
      <c r="W116" s="58"/>
      <c r="X116" s="58"/>
      <c r="Y116" s="58"/>
      <c r="Z116" s="58"/>
      <c r="AA116" s="66"/>
      <c r="AB116" s="66"/>
      <c r="AC116" s="66"/>
      <c r="AD116" s="66"/>
      <c r="AE116" s="251"/>
      <c r="AF116"/>
      <c r="AG116"/>
    </row>
    <row r="117" spans="1:33" hidden="1">
      <c r="A117" s="53"/>
      <c r="B117" s="53"/>
      <c r="C117" s="53"/>
      <c r="D117" s="53"/>
      <c r="E117" s="53"/>
      <c r="F117" s="53"/>
      <c r="G117" s="53" t="s">
        <v>602</v>
      </c>
      <c r="H117" s="53" t="s">
        <v>603</v>
      </c>
      <c r="I117" s="58"/>
      <c r="J117" s="58"/>
      <c r="K117" s="58"/>
      <c r="L117" s="58"/>
      <c r="M117" s="58"/>
      <c r="N117" s="58"/>
      <c r="O117" s="58"/>
      <c r="P117" s="58"/>
      <c r="Q117" s="58"/>
      <c r="R117" s="58"/>
      <c r="S117" s="58"/>
      <c r="T117" s="58"/>
      <c r="U117" s="58"/>
      <c r="V117" s="58"/>
      <c r="W117" s="58"/>
      <c r="X117" s="58"/>
      <c r="Y117" s="58"/>
      <c r="Z117" s="58"/>
      <c r="AA117" s="66"/>
      <c r="AB117" s="66"/>
      <c r="AC117" s="66"/>
      <c r="AD117" s="66"/>
      <c r="AE117" s="251"/>
      <c r="AF117"/>
      <c r="AG117"/>
    </row>
    <row r="118" spans="1:33" hidden="1">
      <c r="A118" s="53"/>
      <c r="B118" s="53"/>
      <c r="C118" s="53"/>
      <c r="D118" s="53"/>
      <c r="E118" s="53"/>
      <c r="F118" s="53"/>
      <c r="G118" s="53" t="s">
        <v>604</v>
      </c>
      <c r="H118" s="53" t="s">
        <v>605</v>
      </c>
      <c r="I118" s="58"/>
      <c r="J118" s="58"/>
      <c r="K118" s="58"/>
      <c r="L118" s="58"/>
      <c r="M118" s="58"/>
      <c r="N118" s="58"/>
      <c r="O118" s="58"/>
      <c r="P118" s="58"/>
      <c r="Q118" s="58"/>
      <c r="R118" s="58"/>
      <c r="S118" s="58"/>
      <c r="T118" s="58"/>
      <c r="U118" s="58"/>
      <c r="V118" s="58"/>
      <c r="W118" s="58"/>
      <c r="X118" s="58"/>
      <c r="Y118" s="58"/>
      <c r="Z118" s="58"/>
      <c r="AA118" s="66"/>
      <c r="AB118" s="66"/>
      <c r="AC118" s="66"/>
      <c r="AD118" s="66"/>
      <c r="AE118" s="251"/>
      <c r="AF118"/>
      <c r="AG118"/>
    </row>
    <row r="119" spans="1:33" hidden="1">
      <c r="A119" s="53"/>
      <c r="B119" s="53"/>
      <c r="C119" s="53"/>
      <c r="D119" s="53"/>
      <c r="E119" s="53"/>
      <c r="F119" s="53"/>
      <c r="G119" s="53" t="s">
        <v>620</v>
      </c>
      <c r="H119" s="53" t="s">
        <v>621</v>
      </c>
      <c r="I119" s="58"/>
      <c r="J119" s="58"/>
      <c r="K119" s="58"/>
      <c r="L119" s="58"/>
      <c r="M119" s="58"/>
      <c r="N119" s="58"/>
      <c r="O119" s="58"/>
      <c r="P119" s="58"/>
      <c r="Q119" s="58"/>
      <c r="R119" s="58"/>
      <c r="S119" s="58"/>
      <c r="T119" s="58"/>
      <c r="U119" s="58"/>
      <c r="V119" s="58"/>
      <c r="W119" s="58"/>
      <c r="X119" s="58"/>
      <c r="Y119" s="58"/>
      <c r="Z119" s="58"/>
      <c r="AA119" s="66"/>
      <c r="AB119" s="66"/>
      <c r="AC119" s="66"/>
      <c r="AD119" s="66"/>
      <c r="AE119" s="251"/>
      <c r="AF119"/>
      <c r="AG119"/>
    </row>
    <row r="120" spans="1:33" hidden="1">
      <c r="A120" s="53"/>
      <c r="B120" s="53"/>
      <c r="C120" s="53"/>
      <c r="D120" s="53"/>
      <c r="E120" s="53"/>
      <c r="F120" s="53"/>
      <c r="G120" s="53" t="s">
        <v>622</v>
      </c>
      <c r="H120" s="53" t="s">
        <v>623</v>
      </c>
      <c r="I120" s="58"/>
      <c r="J120" s="58"/>
      <c r="K120" s="58"/>
      <c r="L120" s="58"/>
      <c r="M120" s="58"/>
      <c r="N120" s="58"/>
      <c r="O120" s="58"/>
      <c r="P120" s="58"/>
      <c r="Q120" s="58"/>
      <c r="R120" s="58"/>
      <c r="S120" s="58"/>
      <c r="T120" s="58"/>
      <c r="U120" s="58"/>
      <c r="V120" s="58"/>
      <c r="W120" s="58"/>
      <c r="X120" s="58"/>
      <c r="Y120" s="58"/>
      <c r="Z120" s="58"/>
      <c r="AA120" s="66"/>
      <c r="AB120" s="66"/>
      <c r="AC120" s="66"/>
      <c r="AD120" s="66"/>
      <c r="AE120" s="251"/>
      <c r="AF120"/>
      <c r="AG120"/>
    </row>
    <row r="121" spans="1:33" hidden="1">
      <c r="A121" s="53"/>
      <c r="B121" s="53"/>
      <c r="C121" s="53"/>
      <c r="D121" s="53"/>
      <c r="E121" s="53"/>
      <c r="F121" s="53"/>
      <c r="G121" s="53"/>
      <c r="H121" s="53"/>
      <c r="I121" s="58"/>
      <c r="J121" s="58"/>
      <c r="K121" s="58"/>
      <c r="L121" s="58"/>
      <c r="M121" s="58"/>
      <c r="N121" s="58"/>
      <c r="O121" s="58"/>
      <c r="P121" s="58"/>
      <c r="Q121" s="58"/>
      <c r="R121" s="58"/>
      <c r="S121" s="58"/>
      <c r="T121" s="58"/>
      <c r="U121" s="58"/>
      <c r="V121" s="58"/>
      <c r="W121" s="58"/>
      <c r="X121" s="58"/>
      <c r="Y121" s="58"/>
      <c r="Z121" s="58"/>
      <c r="AA121" s="66"/>
      <c r="AB121" s="66"/>
      <c r="AC121" s="66"/>
      <c r="AD121" s="66"/>
      <c r="AE121" s="251"/>
      <c r="AF121"/>
      <c r="AG121"/>
    </row>
    <row r="122" spans="1:33" hidden="1">
      <c r="A122" s="53"/>
      <c r="B122" s="53"/>
      <c r="C122" s="53"/>
      <c r="D122" s="53"/>
      <c r="E122" s="53"/>
      <c r="F122" s="53"/>
      <c r="G122" s="255"/>
      <c r="H122" s="255"/>
      <c r="I122" s="58"/>
      <c r="J122" s="58"/>
      <c r="K122" s="58"/>
      <c r="L122" s="58"/>
      <c r="M122" s="58"/>
      <c r="N122" s="58"/>
      <c r="O122" s="58"/>
      <c r="P122" s="58"/>
      <c r="Q122" s="58"/>
      <c r="R122" s="58"/>
      <c r="S122" s="58"/>
      <c r="T122" s="58"/>
      <c r="U122" s="58"/>
      <c r="V122" s="58"/>
      <c r="W122" s="58"/>
      <c r="X122" s="58"/>
      <c r="Y122" s="58"/>
      <c r="Z122" s="58"/>
      <c r="AA122" s="66"/>
      <c r="AB122" s="66"/>
      <c r="AC122" s="66"/>
      <c r="AD122" s="66"/>
      <c r="AE122" s="251"/>
      <c r="AF122"/>
      <c r="AG122"/>
    </row>
    <row r="123" spans="1:33" hidden="1">
      <c r="A123" s="53"/>
      <c r="B123" s="53"/>
      <c r="C123" s="53"/>
      <c r="D123" s="53"/>
      <c r="E123" s="53"/>
      <c r="F123" s="53"/>
      <c r="G123" s="255"/>
      <c r="H123" s="255"/>
      <c r="I123" s="58"/>
      <c r="J123" s="255"/>
      <c r="K123" s="255"/>
      <c r="L123" s="58"/>
      <c r="M123" s="58"/>
      <c r="N123" s="58"/>
      <c r="O123" s="58"/>
      <c r="P123" s="58"/>
      <c r="Q123" s="58"/>
      <c r="R123" s="58"/>
      <c r="S123" s="58"/>
      <c r="T123" s="58"/>
      <c r="U123" s="58"/>
      <c r="V123" s="58"/>
      <c r="W123" s="58"/>
      <c r="X123" s="58"/>
      <c r="Y123" s="58"/>
      <c r="Z123" s="58"/>
      <c r="AA123" s="66"/>
      <c r="AB123" s="66"/>
      <c r="AC123" s="66"/>
      <c r="AD123" s="66"/>
      <c r="AE123" s="251" t="s">
        <v>357</v>
      </c>
      <c r="AF123"/>
      <c r="AG123"/>
    </row>
    <row r="124" spans="1:33" hidden="1">
      <c r="A124" s="50"/>
      <c r="B124" s="50"/>
      <c r="C124" s="50"/>
      <c r="D124" s="50"/>
      <c r="E124" s="50"/>
      <c r="F124" s="50"/>
      <c r="G124"/>
      <c r="H124"/>
      <c r="I124"/>
      <c r="J124"/>
      <c r="K124"/>
      <c r="L124"/>
      <c r="AE124" s="251" t="s">
        <v>358</v>
      </c>
    </row>
    <row r="125" spans="1:33">
      <c r="A125" s="50"/>
      <c r="B125" s="50"/>
      <c r="C125" s="50"/>
      <c r="D125" s="50"/>
      <c r="E125" s="50"/>
      <c r="F125" s="50"/>
      <c r="G125"/>
      <c r="H125"/>
      <c r="I125"/>
      <c r="J125"/>
      <c r="K125"/>
      <c r="L125"/>
      <c r="AE125" s="252" t="s">
        <v>359</v>
      </c>
    </row>
    <row r="126" spans="1:33">
      <c r="A126" s="50"/>
      <c r="B126" s="50"/>
      <c r="C126" s="50"/>
      <c r="D126" s="50"/>
      <c r="E126" s="50"/>
      <c r="F126" s="50"/>
      <c r="G126"/>
      <c r="H126"/>
      <c r="I126"/>
      <c r="J126"/>
      <c r="K126"/>
      <c r="L126"/>
      <c r="AE126" s="252" t="s">
        <v>360</v>
      </c>
    </row>
    <row r="127" spans="1:33">
      <c r="A127" s="50"/>
      <c r="B127" s="50"/>
      <c r="C127" s="50"/>
      <c r="D127" s="50"/>
      <c r="E127" s="50"/>
      <c r="F127" s="50"/>
      <c r="G127"/>
      <c r="H127"/>
      <c r="I127"/>
      <c r="J127"/>
      <c r="K127"/>
      <c r="L127"/>
      <c r="AE127" s="251" t="s">
        <v>361</v>
      </c>
    </row>
    <row r="128" spans="1:33">
      <c r="A128" s="50"/>
      <c r="B128" s="50"/>
      <c r="C128" s="50"/>
      <c r="D128" s="50"/>
      <c r="E128" s="50"/>
      <c r="F128" s="50"/>
      <c r="G128"/>
      <c r="H128"/>
      <c r="I128"/>
      <c r="J128"/>
      <c r="K128"/>
      <c r="L128"/>
      <c r="AE128" s="251" t="s">
        <v>362</v>
      </c>
    </row>
    <row r="129" spans="1:31">
      <c r="A129" s="50"/>
      <c r="B129" s="50"/>
      <c r="C129" s="50"/>
      <c r="D129" s="50"/>
      <c r="E129" s="50"/>
      <c r="F129" s="50"/>
      <c r="G129"/>
      <c r="H129"/>
      <c r="I129"/>
      <c r="J129"/>
      <c r="K129"/>
      <c r="L129"/>
      <c r="AE129" s="251" t="s">
        <v>363</v>
      </c>
    </row>
    <row r="130" spans="1:31">
      <c r="A130" s="50"/>
      <c r="B130" s="50"/>
      <c r="C130" s="50"/>
      <c r="D130" s="50"/>
      <c r="E130" s="50"/>
      <c r="F130" s="50"/>
      <c r="G130"/>
      <c r="H130"/>
      <c r="I130"/>
      <c r="J130"/>
      <c r="K130"/>
      <c r="L130"/>
      <c r="AE130" s="251" t="s">
        <v>364</v>
      </c>
    </row>
    <row r="131" spans="1:31">
      <c r="A131" s="50"/>
      <c r="B131" s="50"/>
      <c r="C131" s="50"/>
      <c r="D131" s="50"/>
      <c r="E131" s="50"/>
      <c r="F131" s="50"/>
      <c r="G131"/>
      <c r="H131"/>
      <c r="I131"/>
      <c r="J131"/>
      <c r="K131"/>
      <c r="L131"/>
      <c r="AE131" s="251" t="s">
        <v>365</v>
      </c>
    </row>
    <row r="132" spans="1:31">
      <c r="A132" s="50"/>
      <c r="B132" s="50"/>
      <c r="C132" s="50"/>
      <c r="D132" s="50"/>
      <c r="E132" s="50"/>
      <c r="F132" s="50"/>
      <c r="G132"/>
      <c r="H132"/>
      <c r="I132"/>
      <c r="J132"/>
      <c r="K132"/>
      <c r="L132"/>
      <c r="AE132" s="251" t="s">
        <v>366</v>
      </c>
    </row>
    <row r="133" spans="1:31">
      <c r="A133" s="50"/>
      <c r="B133" s="50"/>
      <c r="C133" s="50"/>
      <c r="D133" s="50"/>
      <c r="E133" s="50"/>
      <c r="F133" s="50"/>
      <c r="G133"/>
      <c r="H133"/>
      <c r="I133"/>
      <c r="J133"/>
      <c r="K133"/>
      <c r="L133"/>
      <c r="AE133" s="251" t="s">
        <v>367</v>
      </c>
    </row>
    <row r="134" spans="1:31">
      <c r="A134" s="50"/>
      <c r="B134" s="50"/>
      <c r="C134" s="50"/>
      <c r="D134" s="50"/>
      <c r="E134" s="50"/>
      <c r="F134" s="50"/>
      <c r="G134"/>
      <c r="H134"/>
      <c r="I134"/>
      <c r="J134"/>
      <c r="K134"/>
      <c r="L134"/>
      <c r="AE134" s="251" t="s">
        <v>368</v>
      </c>
    </row>
    <row r="135" spans="1:31">
      <c r="A135" s="50"/>
      <c r="B135" s="50"/>
      <c r="C135" s="50"/>
      <c r="D135" s="50"/>
      <c r="E135" s="50"/>
      <c r="F135" s="50"/>
      <c r="G135"/>
      <c r="H135"/>
      <c r="I135"/>
      <c r="J135"/>
      <c r="K135"/>
      <c r="L135"/>
      <c r="AE135" s="251" t="s">
        <v>369</v>
      </c>
    </row>
    <row r="136" spans="1:31">
      <c r="A136" s="50"/>
      <c r="B136" s="50"/>
      <c r="C136" s="50"/>
      <c r="D136" s="50"/>
      <c r="E136" s="50"/>
      <c r="F136" s="50"/>
      <c r="G136"/>
      <c r="H136"/>
      <c r="I136"/>
      <c r="J136"/>
      <c r="K136"/>
      <c r="L136"/>
      <c r="AE136" s="251" t="s">
        <v>370</v>
      </c>
    </row>
    <row r="137" spans="1:31">
      <c r="A137" s="50"/>
      <c r="B137" s="50"/>
      <c r="C137" s="50"/>
      <c r="D137" s="50"/>
      <c r="E137" s="50"/>
      <c r="F137" s="50"/>
      <c r="G137"/>
      <c r="H137"/>
      <c r="I137"/>
      <c r="J137"/>
      <c r="K137"/>
      <c r="L137"/>
      <c r="AE137" s="251" t="s">
        <v>371</v>
      </c>
    </row>
    <row r="138" spans="1:31">
      <c r="A138" s="50"/>
      <c r="B138" s="50"/>
      <c r="C138" s="50"/>
      <c r="D138" s="50"/>
      <c r="E138" s="50"/>
      <c r="F138" s="50"/>
      <c r="G138"/>
      <c r="H138"/>
      <c r="I138"/>
      <c r="J138"/>
      <c r="K138"/>
      <c r="L138"/>
      <c r="AE138" s="251" t="s">
        <v>372</v>
      </c>
    </row>
    <row r="139" spans="1:31">
      <c r="A139" s="50"/>
      <c r="B139" s="50"/>
      <c r="C139" s="50"/>
      <c r="D139" s="50"/>
      <c r="E139" s="50"/>
      <c r="F139" s="50"/>
      <c r="G139"/>
      <c r="H139"/>
      <c r="I139"/>
      <c r="J139"/>
      <c r="K139"/>
      <c r="L139"/>
      <c r="AE139" s="251" t="s">
        <v>373</v>
      </c>
    </row>
    <row r="140" spans="1:31">
      <c r="A140" s="50"/>
      <c r="B140" s="50"/>
      <c r="C140" s="50"/>
      <c r="D140" s="50"/>
      <c r="E140" s="50"/>
      <c r="F140" s="50"/>
      <c r="G140"/>
      <c r="H140"/>
      <c r="I140"/>
      <c r="J140"/>
      <c r="K140"/>
      <c r="L140"/>
      <c r="AE140" s="251" t="s">
        <v>374</v>
      </c>
    </row>
    <row r="141" spans="1:31">
      <c r="A141" s="50"/>
      <c r="B141" s="50"/>
      <c r="C141" s="50"/>
      <c r="D141" s="50"/>
      <c r="E141" s="50"/>
      <c r="F141" s="50"/>
      <c r="G141"/>
      <c r="H141"/>
      <c r="I141"/>
      <c r="J141"/>
      <c r="K141"/>
      <c r="L141"/>
      <c r="AE141" s="251" t="s">
        <v>375</v>
      </c>
    </row>
    <row r="142" spans="1:31">
      <c r="A142" s="50"/>
      <c r="B142" s="50"/>
      <c r="C142" s="50"/>
      <c r="D142" s="50"/>
      <c r="E142" s="50"/>
      <c r="F142" s="50"/>
      <c r="G142"/>
      <c r="H142"/>
      <c r="I142"/>
      <c r="J142"/>
      <c r="K142"/>
      <c r="L142"/>
      <c r="AE142" s="251" t="s">
        <v>376</v>
      </c>
    </row>
    <row r="143" spans="1:31">
      <c r="A143" s="50"/>
      <c r="B143" s="50"/>
      <c r="C143" s="50"/>
      <c r="D143" s="50"/>
      <c r="E143" s="50"/>
      <c r="F143" s="50"/>
      <c r="G143"/>
      <c r="H143"/>
      <c r="I143"/>
      <c r="J143"/>
      <c r="K143"/>
      <c r="L143"/>
      <c r="AE143" s="251" t="s">
        <v>377</v>
      </c>
    </row>
    <row r="144" spans="1:31">
      <c r="A144" s="50"/>
      <c r="B144" s="50"/>
      <c r="C144" s="50"/>
      <c r="D144" s="50"/>
      <c r="E144" s="50"/>
      <c r="F144" s="50"/>
      <c r="G144"/>
      <c r="H144"/>
      <c r="I144"/>
      <c r="J144"/>
      <c r="K144"/>
      <c r="L144"/>
      <c r="AE144" s="251" t="s">
        <v>378</v>
      </c>
    </row>
    <row r="145" spans="1:31">
      <c r="A145" s="50"/>
      <c r="B145" s="50"/>
      <c r="C145" s="50"/>
      <c r="D145" s="50"/>
      <c r="E145" s="50"/>
      <c r="F145" s="50"/>
      <c r="G145"/>
      <c r="H145"/>
      <c r="I145"/>
      <c r="J145"/>
      <c r="K145"/>
      <c r="L145"/>
      <c r="AE145" s="251" t="s">
        <v>379</v>
      </c>
    </row>
    <row r="146" spans="1:31">
      <c r="A146" s="50"/>
      <c r="B146" s="50"/>
      <c r="C146" s="50"/>
      <c r="D146" s="50"/>
      <c r="E146" s="50"/>
      <c r="F146" s="50"/>
      <c r="G146"/>
      <c r="H146"/>
      <c r="I146"/>
      <c r="J146"/>
      <c r="K146"/>
      <c r="L146"/>
      <c r="AE146" s="251" t="s">
        <v>380</v>
      </c>
    </row>
    <row r="147" spans="1:31">
      <c r="A147" s="50"/>
      <c r="B147" s="50"/>
      <c r="C147" s="50"/>
      <c r="D147" s="50"/>
      <c r="E147" s="50"/>
      <c r="F147" s="50"/>
      <c r="G147"/>
      <c r="H147"/>
      <c r="I147"/>
      <c r="J147"/>
      <c r="K147"/>
      <c r="L147"/>
      <c r="AE147" s="251" t="s">
        <v>381</v>
      </c>
    </row>
    <row r="148" spans="1:31">
      <c r="A148" s="50"/>
      <c r="B148" s="50"/>
      <c r="C148" s="50"/>
      <c r="D148" s="50"/>
      <c r="E148" s="50"/>
      <c r="F148" s="50"/>
      <c r="G148"/>
      <c r="H148"/>
      <c r="I148"/>
      <c r="J148"/>
      <c r="K148"/>
      <c r="L148"/>
      <c r="AE148" s="251" t="s">
        <v>382</v>
      </c>
    </row>
    <row r="149" spans="1:31">
      <c r="A149" s="50"/>
      <c r="B149" s="50"/>
      <c r="C149" s="50"/>
      <c r="D149" s="50"/>
      <c r="E149" s="50"/>
      <c r="F149" s="50"/>
      <c r="G149"/>
      <c r="H149"/>
      <c r="I149"/>
      <c r="J149"/>
      <c r="K149"/>
      <c r="L149"/>
      <c r="AE149" s="251" t="s">
        <v>383</v>
      </c>
    </row>
    <row r="150" spans="1:31">
      <c r="A150" s="50"/>
      <c r="B150" s="50"/>
      <c r="C150" s="50"/>
      <c r="D150" s="50"/>
      <c r="E150" s="50"/>
      <c r="F150" s="50"/>
      <c r="G150"/>
      <c r="H150"/>
      <c r="I150"/>
      <c r="J150"/>
      <c r="K150"/>
      <c r="L150"/>
      <c r="AE150" s="251" t="s">
        <v>384</v>
      </c>
    </row>
    <row r="151" spans="1:31">
      <c r="A151" s="50"/>
      <c r="B151" s="50"/>
      <c r="C151" s="50"/>
      <c r="D151" s="50"/>
      <c r="E151" s="50"/>
      <c r="F151" s="50"/>
      <c r="G151"/>
      <c r="H151"/>
      <c r="I151"/>
      <c r="J151"/>
      <c r="K151"/>
      <c r="L151"/>
      <c r="AE151" s="251" t="s">
        <v>385</v>
      </c>
    </row>
    <row r="152" spans="1:31">
      <c r="A152" s="50"/>
      <c r="B152" s="50"/>
      <c r="C152" s="50"/>
      <c r="D152" s="50"/>
      <c r="E152" s="50"/>
      <c r="F152" s="50"/>
      <c r="G152"/>
      <c r="H152"/>
      <c r="I152"/>
      <c r="J152"/>
      <c r="K152"/>
      <c r="L152"/>
      <c r="AE152" s="58"/>
    </row>
    <row r="153" spans="1:31">
      <c r="A153" s="50"/>
      <c r="B153" s="50"/>
      <c r="C153" s="50"/>
      <c r="D153" s="50"/>
      <c r="E153" s="50"/>
      <c r="F153" s="50"/>
      <c r="G153"/>
      <c r="H153"/>
      <c r="I153"/>
      <c r="J153"/>
      <c r="K153"/>
      <c r="L153"/>
      <c r="AE153" s="58"/>
    </row>
    <row r="154" spans="1:31">
      <c r="A154" s="50"/>
      <c r="B154" s="50"/>
      <c r="C154" s="50"/>
      <c r="D154" s="50"/>
      <c r="E154" s="50"/>
      <c r="F154" s="50"/>
      <c r="G154"/>
      <c r="H154"/>
      <c r="I154"/>
      <c r="J154"/>
      <c r="K154"/>
      <c r="L154"/>
      <c r="AE154" s="58"/>
    </row>
    <row r="155" spans="1:31">
      <c r="A155" s="50"/>
      <c r="B155" s="50"/>
      <c r="C155" s="50"/>
      <c r="D155" s="50"/>
      <c r="E155" s="50"/>
      <c r="F155" s="50"/>
      <c r="G155"/>
      <c r="H155"/>
      <c r="I155"/>
      <c r="J155"/>
      <c r="K155"/>
      <c r="L155"/>
    </row>
    <row r="156" spans="1:31">
      <c r="A156" s="50"/>
      <c r="B156" s="50"/>
      <c r="C156" s="50"/>
      <c r="D156" s="50"/>
      <c r="E156" s="50"/>
      <c r="F156" s="50"/>
      <c r="G156"/>
      <c r="H156"/>
      <c r="I156"/>
      <c r="J156"/>
      <c r="K156"/>
      <c r="L156"/>
    </row>
    <row r="157" spans="1:31">
      <c r="A157" s="50"/>
      <c r="B157" s="50"/>
      <c r="C157" s="50"/>
      <c r="D157" s="50"/>
      <c r="E157" s="50"/>
      <c r="F157" s="50"/>
      <c r="G157"/>
      <c r="H157"/>
      <c r="I157"/>
      <c r="J157"/>
      <c r="K157"/>
      <c r="L157"/>
    </row>
    <row r="158" spans="1:31">
      <c r="A158" s="50"/>
      <c r="B158" s="50"/>
      <c r="C158" s="50"/>
      <c r="D158" s="50"/>
      <c r="E158" s="50"/>
      <c r="F158" s="50"/>
      <c r="G158"/>
      <c r="H158"/>
      <c r="I158"/>
      <c r="J158"/>
      <c r="K158"/>
      <c r="L158"/>
    </row>
    <row r="159" spans="1:31">
      <c r="A159" s="50"/>
      <c r="B159" s="50"/>
      <c r="C159" s="50"/>
      <c r="D159" s="50"/>
      <c r="E159" s="50"/>
      <c r="F159" s="50"/>
      <c r="G159"/>
      <c r="H159"/>
      <c r="I159"/>
      <c r="J159"/>
      <c r="K159"/>
      <c r="L159"/>
    </row>
    <row r="160" spans="1:31">
      <c r="A160" s="50"/>
      <c r="B160" s="50"/>
      <c r="C160" s="50"/>
      <c r="D160" s="50"/>
      <c r="E160" s="50"/>
      <c r="F160" s="50"/>
      <c r="G160"/>
      <c r="H160"/>
      <c r="I160"/>
      <c r="J160"/>
      <c r="K160"/>
      <c r="L160"/>
    </row>
    <row r="161" spans="1:12">
      <c r="A161" s="50"/>
      <c r="B161" s="50"/>
      <c r="C161" s="50"/>
      <c r="D161" s="50"/>
      <c r="E161" s="50"/>
      <c r="F161" s="50"/>
      <c r="G161"/>
      <c r="H161"/>
      <c r="I161"/>
      <c r="J161"/>
      <c r="K161"/>
      <c r="L161"/>
    </row>
    <row r="162" spans="1:12">
      <c r="A162" s="50"/>
      <c r="B162" s="50"/>
      <c r="C162" s="50"/>
      <c r="D162" s="50"/>
      <c r="E162" s="50"/>
      <c r="F162" s="50"/>
      <c r="G162"/>
      <c r="H162"/>
      <c r="I162"/>
      <c r="J162"/>
      <c r="K162"/>
      <c r="L162"/>
    </row>
    <row r="163" spans="1:12">
      <c r="A163" s="50"/>
      <c r="B163" s="50"/>
      <c r="C163" s="50"/>
      <c r="D163" s="50"/>
      <c r="E163" s="50"/>
      <c r="F163" s="50"/>
      <c r="G163"/>
      <c r="H163"/>
      <c r="I163"/>
      <c r="J163"/>
      <c r="K163"/>
      <c r="L163"/>
    </row>
    <row r="164" spans="1:12">
      <c r="A164" s="50"/>
      <c r="B164" s="50"/>
      <c r="C164" s="50"/>
      <c r="D164" s="50"/>
      <c r="E164" s="50"/>
      <c r="F164" s="50"/>
      <c r="G164"/>
      <c r="H164"/>
      <c r="I164"/>
      <c r="J164"/>
      <c r="K164"/>
      <c r="L164"/>
    </row>
    <row r="165" spans="1:12">
      <c r="A165" s="50"/>
      <c r="B165" s="50"/>
      <c r="C165" s="50"/>
      <c r="D165" s="50"/>
      <c r="E165" s="50"/>
      <c r="F165" s="50"/>
      <c r="G165"/>
      <c r="H165"/>
      <c r="I165"/>
      <c r="J165"/>
      <c r="K165"/>
      <c r="L165"/>
    </row>
    <row r="166" spans="1:12">
      <c r="A166" s="50"/>
      <c r="B166" s="50"/>
      <c r="C166" s="50"/>
      <c r="D166" s="50"/>
      <c r="E166" s="50"/>
      <c r="F166" s="50"/>
      <c r="G166"/>
      <c r="H166"/>
      <c r="I166"/>
      <c r="J166"/>
      <c r="K166"/>
      <c r="L166"/>
    </row>
    <row r="167" spans="1:12">
      <c r="A167" s="50"/>
      <c r="B167" s="50"/>
      <c r="C167" s="50"/>
      <c r="D167" s="50"/>
      <c r="E167" s="50"/>
      <c r="F167" s="50"/>
      <c r="G167"/>
      <c r="H167"/>
      <c r="I167"/>
      <c r="J167"/>
      <c r="K167"/>
      <c r="L167"/>
    </row>
    <row r="168" spans="1:12">
      <c r="A168" s="50"/>
      <c r="B168" s="50"/>
      <c r="C168" s="50"/>
      <c r="D168" s="50"/>
      <c r="E168" s="50"/>
      <c r="F168" s="50"/>
      <c r="G168"/>
      <c r="H168"/>
      <c r="I168"/>
      <c r="J168"/>
      <c r="K168"/>
      <c r="L168"/>
    </row>
    <row r="169" spans="1:12">
      <c r="A169" s="50"/>
      <c r="B169" s="50"/>
      <c r="C169" s="50"/>
      <c r="D169" s="50"/>
      <c r="E169" s="50"/>
      <c r="F169" s="50"/>
      <c r="G169"/>
      <c r="H169"/>
      <c r="I169"/>
      <c r="J169"/>
      <c r="K169"/>
      <c r="L169"/>
    </row>
    <row r="170" spans="1:12">
      <c r="A170" s="50"/>
      <c r="B170" s="50"/>
      <c r="C170" s="50"/>
      <c r="D170" s="50"/>
      <c r="E170" s="50"/>
      <c r="F170" s="50"/>
      <c r="G170"/>
      <c r="H170"/>
      <c r="I170"/>
      <c r="J170"/>
      <c r="K170"/>
      <c r="L170"/>
    </row>
    <row r="171" spans="1:12">
      <c r="A171" s="50"/>
      <c r="B171" s="50"/>
      <c r="C171" s="50"/>
      <c r="D171" s="50"/>
      <c r="E171" s="50"/>
      <c r="F171" s="50"/>
      <c r="G171"/>
      <c r="H171"/>
      <c r="I171"/>
      <c r="J171"/>
      <c r="K171"/>
      <c r="L171"/>
    </row>
    <row r="172" spans="1:12">
      <c r="A172" s="50"/>
      <c r="B172" s="50"/>
      <c r="C172" s="50"/>
      <c r="D172" s="50"/>
      <c r="E172" s="50"/>
      <c r="F172" s="50"/>
      <c r="G172"/>
      <c r="H172"/>
      <c r="I172"/>
      <c r="J172"/>
      <c r="K172"/>
      <c r="L172"/>
    </row>
    <row r="173" spans="1:12">
      <c r="A173" s="50"/>
      <c r="B173" s="50"/>
      <c r="C173" s="50"/>
      <c r="D173" s="50"/>
      <c r="E173" s="50"/>
      <c r="F173" s="50"/>
      <c r="G173"/>
      <c r="H173"/>
      <c r="I173"/>
      <c r="J173"/>
      <c r="K173"/>
      <c r="L173"/>
    </row>
    <row r="174" spans="1:12">
      <c r="A174" s="50"/>
      <c r="B174" s="50"/>
      <c r="C174" s="50"/>
      <c r="D174" s="50"/>
      <c r="E174" s="50"/>
      <c r="F174" s="50"/>
      <c r="G174"/>
      <c r="H174"/>
      <c r="I174"/>
      <c r="J174"/>
      <c r="K174"/>
      <c r="L174"/>
    </row>
    <row r="175" spans="1:12">
      <c r="A175" s="50"/>
      <c r="B175" s="50"/>
      <c r="C175" s="50"/>
      <c r="D175" s="50"/>
      <c r="E175" s="50"/>
      <c r="F175" s="50"/>
      <c r="G175"/>
      <c r="H175"/>
      <c r="I175"/>
      <c r="J175"/>
      <c r="K175"/>
      <c r="L175"/>
    </row>
    <row r="176" spans="1:12">
      <c r="A176" s="50"/>
      <c r="B176" s="50"/>
      <c r="C176" s="50"/>
      <c r="D176" s="50"/>
      <c r="E176" s="50"/>
      <c r="F176" s="50"/>
      <c r="G176"/>
      <c r="H176"/>
      <c r="I176"/>
      <c r="J176"/>
      <c r="K176"/>
      <c r="L176"/>
    </row>
    <row r="177" spans="1:12">
      <c r="A177" s="50"/>
      <c r="B177" s="50"/>
      <c r="C177" s="50"/>
      <c r="D177" s="50"/>
      <c r="E177" s="50"/>
      <c r="F177" s="50"/>
      <c r="G177"/>
      <c r="H177"/>
      <c r="I177"/>
      <c r="J177"/>
      <c r="K177"/>
      <c r="L177"/>
    </row>
    <row r="178" spans="1:12">
      <c r="A178" s="50"/>
      <c r="B178" s="50"/>
      <c r="C178" s="50"/>
      <c r="D178" s="50"/>
      <c r="E178" s="50"/>
      <c r="F178" s="50"/>
      <c r="G178"/>
      <c r="H178"/>
      <c r="I178"/>
      <c r="J178"/>
      <c r="K178"/>
      <c r="L178"/>
    </row>
    <row r="179" spans="1:12">
      <c r="A179" s="50"/>
      <c r="B179" s="50"/>
      <c r="C179" s="50"/>
      <c r="D179" s="50"/>
      <c r="E179" s="50"/>
      <c r="F179" s="50"/>
      <c r="G179"/>
      <c r="H179"/>
      <c r="I179"/>
      <c r="J179"/>
      <c r="K179"/>
      <c r="L179"/>
    </row>
    <row r="180" spans="1:12">
      <c r="A180" s="50"/>
      <c r="B180" s="50"/>
      <c r="C180" s="50"/>
      <c r="D180" s="50"/>
      <c r="E180" s="50"/>
      <c r="F180" s="50"/>
      <c r="G180"/>
      <c r="H180"/>
      <c r="I180"/>
      <c r="J180"/>
      <c r="K180"/>
      <c r="L180"/>
    </row>
    <row r="181" spans="1:12">
      <c r="A181" s="50"/>
      <c r="B181" s="50"/>
      <c r="C181" s="50"/>
      <c r="D181" s="50"/>
      <c r="E181" s="50"/>
      <c r="F181" s="50"/>
      <c r="G181"/>
      <c r="H181"/>
      <c r="I181"/>
      <c r="J181"/>
      <c r="K181"/>
      <c r="L181"/>
    </row>
    <row r="182" spans="1:12">
      <c r="A182" s="50"/>
      <c r="B182" s="50"/>
      <c r="C182" s="50"/>
      <c r="D182" s="50"/>
      <c r="E182" s="50"/>
      <c r="F182" s="50"/>
      <c r="G182"/>
      <c r="H182"/>
      <c r="I182"/>
      <c r="J182"/>
      <c r="K182"/>
      <c r="L182"/>
    </row>
    <row r="183" spans="1:12">
      <c r="A183" s="50"/>
      <c r="B183" s="50"/>
      <c r="C183" s="50"/>
      <c r="D183" s="50"/>
      <c r="E183" s="50"/>
      <c r="F183" s="50"/>
      <c r="G183"/>
      <c r="H183"/>
      <c r="I183"/>
      <c r="J183"/>
      <c r="K183"/>
      <c r="L183"/>
    </row>
    <row r="184" spans="1:12">
      <c r="A184" s="50"/>
      <c r="B184" s="50"/>
      <c r="C184" s="50"/>
      <c r="D184" s="50"/>
      <c r="E184" s="50"/>
      <c r="F184" s="50"/>
      <c r="G184"/>
      <c r="H184"/>
      <c r="I184"/>
      <c r="J184"/>
      <c r="K184"/>
      <c r="L184"/>
    </row>
    <row r="185" spans="1:12">
      <c r="A185" s="50"/>
      <c r="B185" s="50"/>
      <c r="C185" s="50"/>
      <c r="D185" s="50"/>
      <c r="E185" s="50"/>
      <c r="F185" s="50"/>
      <c r="G185"/>
      <c r="H185"/>
      <c r="I185"/>
      <c r="J185"/>
      <c r="K185"/>
      <c r="L185"/>
    </row>
    <row r="186" spans="1:12">
      <c r="A186" s="50"/>
      <c r="B186" s="50"/>
      <c r="C186" s="50"/>
      <c r="D186" s="50"/>
      <c r="E186" s="50"/>
      <c r="F186" s="50"/>
      <c r="G186"/>
      <c r="H186"/>
      <c r="I186"/>
      <c r="J186"/>
      <c r="K186"/>
      <c r="L186"/>
    </row>
    <row r="187" spans="1:12">
      <c r="A187" s="50"/>
      <c r="B187" s="50"/>
      <c r="C187" s="50"/>
      <c r="D187" s="50"/>
      <c r="E187" s="50"/>
      <c r="F187" s="50"/>
      <c r="I187"/>
      <c r="J187"/>
      <c r="K187"/>
      <c r="L187"/>
    </row>
    <row r="188" spans="1:12">
      <c r="A188" s="50"/>
      <c r="B188" s="50"/>
      <c r="C188" s="50"/>
      <c r="D188" s="50"/>
      <c r="E188" s="50"/>
      <c r="F188" s="50"/>
      <c r="I188"/>
      <c r="L188"/>
    </row>
  </sheetData>
  <sheetProtection sheet="1" objects="1" scenarios="1"/>
  <mergeCells count="12">
    <mergeCell ref="R25:S25"/>
    <mergeCell ref="R26:S26"/>
    <mergeCell ref="J10:K10"/>
    <mergeCell ref="J11:K11"/>
    <mergeCell ref="J12:K12"/>
    <mergeCell ref="J13:K13"/>
    <mergeCell ref="F8:G8"/>
    <mergeCell ref="J8:K8"/>
    <mergeCell ref="R22:S22"/>
    <mergeCell ref="R23:S23"/>
    <mergeCell ref="R24:S24"/>
    <mergeCell ref="J9:K9"/>
  </mergeCells>
  <phoneticPr fontId="2"/>
  <conditionalFormatting sqref="B9:B15 D13 B17:B19">
    <cfRule type="containsBlanks" dxfId="3" priority="2">
      <formula>LEN(TRIM(B9))=0</formula>
    </cfRule>
  </conditionalFormatting>
  <conditionalFormatting sqref="D9:D11">
    <cfRule type="containsBlanks" dxfId="2" priority="1">
      <formula>LEN(TRIM(D9))=0</formula>
    </cfRule>
  </conditionalFormatting>
  <dataValidations count="15">
    <dataValidation type="list" allowBlank="1" showInputMessage="1" showErrorMessage="1" sqref="B16" xr:uid="{8B22984A-66F0-4A36-947E-783FCA4F6A49}">
      <formula1>$A$24:$A$35</formula1>
    </dataValidation>
    <dataValidation type="list" allowBlank="1" showInputMessage="1" showErrorMessage="1" sqref="B15" xr:uid="{524E4CCB-5C4A-476C-B2CB-525EF7EBED9E}">
      <formula1>$A$23:$A$35</formula1>
    </dataValidation>
    <dataValidation type="list" allowBlank="1" showInputMessage="1" showErrorMessage="1" sqref="B39:B43 E39" xr:uid="{7C5EEDB3-3B6F-49BF-AB9E-B2A492DE0F3E}">
      <formula1>$C$24:$C$35</formula1>
    </dataValidation>
    <dataValidation type="list" allowBlank="1" showInputMessage="1" sqref="B49:B67" xr:uid="{1D86D159-D776-4A25-B29A-C12EBAE254E6}">
      <formula1>$AE$72:$AE$151</formula1>
    </dataValidation>
    <dataValidation type="list" errorStyle="warning" allowBlank="1" showInputMessage="1" showErrorMessage="1" error="リスト選択以外のものを入力する場合は、『返送書類リスト』⒉ご準備頂きたい書類の『詳細』や『通数』をご自身で入力してください。" sqref="J9:J13" xr:uid="{9279BA8B-23DF-4D58-B7D4-3B317D70A491}">
      <formula1>$AC$72:$AC$96</formula1>
    </dataValidation>
    <dataValidation type="list" allowBlank="1" showInputMessage="1" showErrorMessage="1" sqref="D9" xr:uid="{9E353013-CD0A-47C7-A5EC-D2E6ED249308}">
      <formula1>$M$72:$M$96</formula1>
    </dataValidation>
    <dataValidation type="list" errorStyle="warning" allowBlank="1" showInputMessage="1" showErrorMessage="1" sqref="G9:G19" xr:uid="{D7B86EFF-9BFD-4D37-8A22-3A8604D4BB39}">
      <formula1>$AA$72:$AA$101</formula1>
    </dataValidation>
    <dataValidation type="list" allowBlank="1" showInputMessage="1" showErrorMessage="1" sqref="D10:D11" xr:uid="{554C414A-5D30-48C4-82D4-373DB53C059E}">
      <formula1>$F$72:$F$188</formula1>
    </dataValidation>
    <dataValidation type="list" errorStyle="information" allowBlank="1" showInputMessage="1" sqref="B24:B35" xr:uid="{9FAD8DDA-8251-4C9C-9FE3-BA423F05BEE0}">
      <formula1>$L$72:$L$123</formula1>
    </dataValidation>
    <dataValidation type="list" allowBlank="1" showInputMessage="1" showErrorMessage="1" sqref="B12 D43" xr:uid="{89FC40E8-0B8C-40DD-8979-32A81726320A}">
      <formula1>$N$72:$N$96</formula1>
    </dataValidation>
    <dataValidation type="list" allowBlank="1" showInputMessage="1" showErrorMessage="1" sqref="B11" xr:uid="{68BBADBD-4B3D-46BF-830F-AAD94E4F6CE5}">
      <formula1>$A$72:$A$188</formula1>
    </dataValidation>
    <dataValidation type="list" allowBlank="1" showInputMessage="1" showErrorMessage="1" sqref="D10" xr:uid="{818F1A40-D652-45F4-92C7-588F6DBC788D}">
      <formula1>$F$72:$F$150</formula1>
    </dataValidation>
    <dataValidation type="list" errorStyle="information" allowBlank="1" showInputMessage="1" showErrorMessage="1" sqref="E43" xr:uid="{55EF2FEE-610D-489F-9266-BB01B542FE6C}">
      <formula1>$G$72:$G$186</formula1>
    </dataValidation>
    <dataValidation type="list" allowBlank="1" showInputMessage="1" showErrorMessage="1" sqref="D13" xr:uid="{4C10C3BC-34F8-4DB2-AC60-D68207168476}">
      <formula1>$G$72:$G$126</formula1>
    </dataValidation>
    <dataValidation type="list" allowBlank="1" showInputMessage="1" showErrorMessage="1" sqref="B13" xr:uid="{33ED05D3-E8E5-46DB-AEFE-480A845B8058}">
      <formula1>$G$72:$G$186</formula1>
    </dataValidation>
  </dataValidations>
  <pageMargins left="0.7" right="0.7" top="0.75" bottom="0.75" header="0.3" footer="0.3"/>
  <pageSetup paperSize="9" scale="2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3" r:id="rId4" name="Check Box 3">
              <controlPr defaultSize="0" autoFill="0" autoLine="0" autoPict="0">
                <anchor moveWithCells="1">
                  <from>
                    <xdr:col>7</xdr:col>
                    <xdr:colOff>628650</xdr:colOff>
                    <xdr:row>8</xdr:row>
                    <xdr:rowOff>28575</xdr:rowOff>
                  </from>
                  <to>
                    <xdr:col>7</xdr:col>
                    <xdr:colOff>990600</xdr:colOff>
                    <xdr:row>9</xdr:row>
                    <xdr:rowOff>38100</xdr:rowOff>
                  </to>
                </anchor>
              </controlPr>
            </control>
          </mc:Choice>
        </mc:AlternateContent>
        <mc:AlternateContent xmlns:mc="http://schemas.openxmlformats.org/markup-compatibility/2006">
          <mc:Choice Requires="x14">
            <control shapeId="5124" r:id="rId5" name="Check Box 4">
              <controlPr defaultSize="0" autoFill="0" autoLine="0" autoPict="0">
                <anchor moveWithCells="1">
                  <from>
                    <xdr:col>7</xdr:col>
                    <xdr:colOff>628650</xdr:colOff>
                    <xdr:row>9</xdr:row>
                    <xdr:rowOff>28575</xdr:rowOff>
                  </from>
                  <to>
                    <xdr:col>7</xdr:col>
                    <xdr:colOff>990600</xdr:colOff>
                    <xdr:row>10</xdr:row>
                    <xdr:rowOff>38100</xdr:rowOff>
                  </to>
                </anchor>
              </controlPr>
            </control>
          </mc:Choice>
        </mc:AlternateContent>
        <mc:AlternateContent xmlns:mc="http://schemas.openxmlformats.org/markup-compatibility/2006">
          <mc:Choice Requires="x14">
            <control shapeId="5125" r:id="rId6" name="Check Box 5">
              <controlPr defaultSize="0" autoFill="0" autoLine="0" autoPict="0">
                <anchor moveWithCells="1">
                  <from>
                    <xdr:col>7</xdr:col>
                    <xdr:colOff>628650</xdr:colOff>
                    <xdr:row>10</xdr:row>
                    <xdr:rowOff>28575</xdr:rowOff>
                  </from>
                  <to>
                    <xdr:col>7</xdr:col>
                    <xdr:colOff>990600</xdr:colOff>
                    <xdr:row>11</xdr:row>
                    <xdr:rowOff>38100</xdr:rowOff>
                  </to>
                </anchor>
              </controlPr>
            </control>
          </mc:Choice>
        </mc:AlternateContent>
        <mc:AlternateContent xmlns:mc="http://schemas.openxmlformats.org/markup-compatibility/2006">
          <mc:Choice Requires="x14">
            <control shapeId="5126" r:id="rId7" name="Check Box 6">
              <controlPr defaultSize="0" autoFill="0" autoLine="0" autoPict="0">
                <anchor moveWithCells="1">
                  <from>
                    <xdr:col>7</xdr:col>
                    <xdr:colOff>628650</xdr:colOff>
                    <xdr:row>11</xdr:row>
                    <xdr:rowOff>28575</xdr:rowOff>
                  </from>
                  <to>
                    <xdr:col>7</xdr:col>
                    <xdr:colOff>990600</xdr:colOff>
                    <xdr:row>12</xdr:row>
                    <xdr:rowOff>38100</xdr:rowOff>
                  </to>
                </anchor>
              </controlPr>
            </control>
          </mc:Choice>
        </mc:AlternateContent>
        <mc:AlternateContent xmlns:mc="http://schemas.openxmlformats.org/markup-compatibility/2006">
          <mc:Choice Requires="x14">
            <control shapeId="5127" r:id="rId8" name="Check Box 7">
              <controlPr defaultSize="0" autoFill="0" autoLine="0" autoPict="0">
                <anchor moveWithCells="1">
                  <from>
                    <xdr:col>7</xdr:col>
                    <xdr:colOff>628650</xdr:colOff>
                    <xdr:row>12</xdr:row>
                    <xdr:rowOff>28575</xdr:rowOff>
                  </from>
                  <to>
                    <xdr:col>7</xdr:col>
                    <xdr:colOff>990600</xdr:colOff>
                    <xdr:row>13</xdr:row>
                    <xdr:rowOff>38100</xdr:rowOff>
                  </to>
                </anchor>
              </controlPr>
            </control>
          </mc:Choice>
        </mc:AlternateContent>
        <mc:AlternateContent xmlns:mc="http://schemas.openxmlformats.org/markup-compatibility/2006">
          <mc:Choice Requires="x14">
            <control shapeId="5128" r:id="rId9" name="Check Box 8">
              <controlPr defaultSize="0" autoFill="0" autoLine="0" autoPict="0">
                <anchor moveWithCells="1">
                  <from>
                    <xdr:col>7</xdr:col>
                    <xdr:colOff>628650</xdr:colOff>
                    <xdr:row>13</xdr:row>
                    <xdr:rowOff>28575</xdr:rowOff>
                  </from>
                  <to>
                    <xdr:col>7</xdr:col>
                    <xdr:colOff>990600</xdr:colOff>
                    <xdr:row>14</xdr:row>
                    <xdr:rowOff>38100</xdr:rowOff>
                  </to>
                </anchor>
              </controlPr>
            </control>
          </mc:Choice>
        </mc:AlternateContent>
        <mc:AlternateContent xmlns:mc="http://schemas.openxmlformats.org/markup-compatibility/2006">
          <mc:Choice Requires="x14">
            <control shapeId="5129" r:id="rId10" name="Check Box 9">
              <controlPr defaultSize="0" autoFill="0" autoLine="0" autoPict="0">
                <anchor moveWithCells="1">
                  <from>
                    <xdr:col>7</xdr:col>
                    <xdr:colOff>628650</xdr:colOff>
                    <xdr:row>14</xdr:row>
                    <xdr:rowOff>28575</xdr:rowOff>
                  </from>
                  <to>
                    <xdr:col>7</xdr:col>
                    <xdr:colOff>990600</xdr:colOff>
                    <xdr:row>15</xdr:row>
                    <xdr:rowOff>38100</xdr:rowOff>
                  </to>
                </anchor>
              </controlPr>
            </control>
          </mc:Choice>
        </mc:AlternateContent>
        <mc:AlternateContent xmlns:mc="http://schemas.openxmlformats.org/markup-compatibility/2006">
          <mc:Choice Requires="x14">
            <control shapeId="5130" r:id="rId11" name="Check Box 10">
              <controlPr defaultSize="0" autoFill="0" autoLine="0" autoPict="0">
                <anchor moveWithCells="1">
                  <from>
                    <xdr:col>7</xdr:col>
                    <xdr:colOff>628650</xdr:colOff>
                    <xdr:row>15</xdr:row>
                    <xdr:rowOff>28575</xdr:rowOff>
                  </from>
                  <to>
                    <xdr:col>7</xdr:col>
                    <xdr:colOff>990600</xdr:colOff>
                    <xdr:row>16</xdr:row>
                    <xdr:rowOff>38100</xdr:rowOff>
                  </to>
                </anchor>
              </controlPr>
            </control>
          </mc:Choice>
        </mc:AlternateContent>
        <mc:AlternateContent xmlns:mc="http://schemas.openxmlformats.org/markup-compatibility/2006">
          <mc:Choice Requires="x14">
            <control shapeId="5131" r:id="rId12" name="Check Box 11">
              <controlPr defaultSize="0" autoFill="0" autoLine="0" autoPict="0">
                <anchor moveWithCells="1">
                  <from>
                    <xdr:col>7</xdr:col>
                    <xdr:colOff>628650</xdr:colOff>
                    <xdr:row>16</xdr:row>
                    <xdr:rowOff>28575</xdr:rowOff>
                  </from>
                  <to>
                    <xdr:col>7</xdr:col>
                    <xdr:colOff>990600</xdr:colOff>
                    <xdr:row>17</xdr:row>
                    <xdr:rowOff>38100</xdr:rowOff>
                  </to>
                </anchor>
              </controlPr>
            </control>
          </mc:Choice>
        </mc:AlternateContent>
        <mc:AlternateContent xmlns:mc="http://schemas.openxmlformats.org/markup-compatibility/2006">
          <mc:Choice Requires="x14">
            <control shapeId="5132" r:id="rId13" name="Check Box 12">
              <controlPr defaultSize="0" autoFill="0" autoLine="0" autoPict="0">
                <anchor moveWithCells="1">
                  <from>
                    <xdr:col>7</xdr:col>
                    <xdr:colOff>628650</xdr:colOff>
                    <xdr:row>17</xdr:row>
                    <xdr:rowOff>28575</xdr:rowOff>
                  </from>
                  <to>
                    <xdr:col>7</xdr:col>
                    <xdr:colOff>990600</xdr:colOff>
                    <xdr:row>18</xdr:row>
                    <xdr:rowOff>38100</xdr:rowOff>
                  </to>
                </anchor>
              </controlPr>
            </control>
          </mc:Choice>
        </mc:AlternateContent>
        <mc:AlternateContent xmlns:mc="http://schemas.openxmlformats.org/markup-compatibility/2006">
          <mc:Choice Requires="x14">
            <control shapeId="5133" r:id="rId14" name="Check Box 13">
              <controlPr defaultSize="0" autoFill="0" autoLine="0" autoPict="0">
                <anchor moveWithCells="1">
                  <from>
                    <xdr:col>7</xdr:col>
                    <xdr:colOff>628650</xdr:colOff>
                    <xdr:row>18</xdr:row>
                    <xdr:rowOff>28575</xdr:rowOff>
                  </from>
                  <to>
                    <xdr:col>7</xdr:col>
                    <xdr:colOff>990600</xdr:colOff>
                    <xdr:row>19</xdr:row>
                    <xdr:rowOff>38100</xdr:rowOff>
                  </to>
                </anchor>
              </controlPr>
            </control>
          </mc:Choice>
        </mc:AlternateContent>
        <mc:AlternateContent xmlns:mc="http://schemas.openxmlformats.org/markup-compatibility/2006">
          <mc:Choice Requires="x14">
            <control shapeId="5134" r:id="rId15" name="Check Box 14">
              <controlPr defaultSize="0" autoFill="0" autoLine="0" autoPict="0">
                <anchor moveWithCells="1">
                  <from>
                    <xdr:col>7</xdr:col>
                    <xdr:colOff>628650</xdr:colOff>
                    <xdr:row>8</xdr:row>
                    <xdr:rowOff>28575</xdr:rowOff>
                  </from>
                  <to>
                    <xdr:col>7</xdr:col>
                    <xdr:colOff>990600</xdr:colOff>
                    <xdr:row>9</xdr:row>
                    <xdr:rowOff>38100</xdr:rowOff>
                  </to>
                </anchor>
              </controlPr>
            </control>
          </mc:Choice>
        </mc:AlternateContent>
        <mc:AlternateContent xmlns:mc="http://schemas.openxmlformats.org/markup-compatibility/2006">
          <mc:Choice Requires="x14">
            <control shapeId="5135" r:id="rId16" name="Check Box 15">
              <controlPr defaultSize="0" autoFill="0" autoLine="0" autoPict="0">
                <anchor moveWithCells="1">
                  <from>
                    <xdr:col>7</xdr:col>
                    <xdr:colOff>628650</xdr:colOff>
                    <xdr:row>9</xdr:row>
                    <xdr:rowOff>28575</xdr:rowOff>
                  </from>
                  <to>
                    <xdr:col>7</xdr:col>
                    <xdr:colOff>990600</xdr:colOff>
                    <xdr:row>10</xdr:row>
                    <xdr:rowOff>38100</xdr:rowOff>
                  </to>
                </anchor>
              </controlPr>
            </control>
          </mc:Choice>
        </mc:AlternateContent>
        <mc:AlternateContent xmlns:mc="http://schemas.openxmlformats.org/markup-compatibility/2006">
          <mc:Choice Requires="x14">
            <control shapeId="5136" r:id="rId17" name="Check Box 16">
              <controlPr defaultSize="0" autoFill="0" autoLine="0" autoPict="0">
                <anchor moveWithCells="1">
                  <from>
                    <xdr:col>7</xdr:col>
                    <xdr:colOff>628650</xdr:colOff>
                    <xdr:row>10</xdr:row>
                    <xdr:rowOff>28575</xdr:rowOff>
                  </from>
                  <to>
                    <xdr:col>7</xdr:col>
                    <xdr:colOff>990600</xdr:colOff>
                    <xdr:row>11</xdr:row>
                    <xdr:rowOff>38100</xdr:rowOff>
                  </to>
                </anchor>
              </controlPr>
            </control>
          </mc:Choice>
        </mc:AlternateContent>
        <mc:AlternateContent xmlns:mc="http://schemas.openxmlformats.org/markup-compatibility/2006">
          <mc:Choice Requires="x14">
            <control shapeId="5137" r:id="rId18" name="Check Box 17">
              <controlPr defaultSize="0" autoFill="0" autoLine="0" autoPict="0">
                <anchor moveWithCells="1">
                  <from>
                    <xdr:col>7</xdr:col>
                    <xdr:colOff>628650</xdr:colOff>
                    <xdr:row>11</xdr:row>
                    <xdr:rowOff>28575</xdr:rowOff>
                  </from>
                  <to>
                    <xdr:col>7</xdr:col>
                    <xdr:colOff>990600</xdr:colOff>
                    <xdr:row>12</xdr:row>
                    <xdr:rowOff>38100</xdr:rowOff>
                  </to>
                </anchor>
              </controlPr>
            </control>
          </mc:Choice>
        </mc:AlternateContent>
        <mc:AlternateContent xmlns:mc="http://schemas.openxmlformats.org/markup-compatibility/2006">
          <mc:Choice Requires="x14">
            <control shapeId="5138" r:id="rId19" name="Check Box 18">
              <controlPr defaultSize="0" autoFill="0" autoLine="0" autoPict="0">
                <anchor moveWithCells="1">
                  <from>
                    <xdr:col>7</xdr:col>
                    <xdr:colOff>628650</xdr:colOff>
                    <xdr:row>12</xdr:row>
                    <xdr:rowOff>28575</xdr:rowOff>
                  </from>
                  <to>
                    <xdr:col>7</xdr:col>
                    <xdr:colOff>990600</xdr:colOff>
                    <xdr:row>13</xdr:row>
                    <xdr:rowOff>38100</xdr:rowOff>
                  </to>
                </anchor>
              </controlPr>
            </control>
          </mc:Choice>
        </mc:AlternateContent>
        <mc:AlternateContent xmlns:mc="http://schemas.openxmlformats.org/markup-compatibility/2006">
          <mc:Choice Requires="x14">
            <control shapeId="5139" r:id="rId20" name="Check Box 19">
              <controlPr defaultSize="0" autoFill="0" autoLine="0" autoPict="0">
                <anchor moveWithCells="1">
                  <from>
                    <xdr:col>7</xdr:col>
                    <xdr:colOff>628650</xdr:colOff>
                    <xdr:row>13</xdr:row>
                    <xdr:rowOff>28575</xdr:rowOff>
                  </from>
                  <to>
                    <xdr:col>7</xdr:col>
                    <xdr:colOff>990600</xdr:colOff>
                    <xdr:row>14</xdr:row>
                    <xdr:rowOff>38100</xdr:rowOff>
                  </to>
                </anchor>
              </controlPr>
            </control>
          </mc:Choice>
        </mc:AlternateContent>
        <mc:AlternateContent xmlns:mc="http://schemas.openxmlformats.org/markup-compatibility/2006">
          <mc:Choice Requires="x14">
            <control shapeId="5140" r:id="rId21" name="Check Box 20">
              <controlPr defaultSize="0" autoFill="0" autoLine="0" autoPict="0">
                <anchor moveWithCells="1">
                  <from>
                    <xdr:col>7</xdr:col>
                    <xdr:colOff>628650</xdr:colOff>
                    <xdr:row>14</xdr:row>
                    <xdr:rowOff>28575</xdr:rowOff>
                  </from>
                  <to>
                    <xdr:col>7</xdr:col>
                    <xdr:colOff>990600</xdr:colOff>
                    <xdr:row>15</xdr:row>
                    <xdr:rowOff>38100</xdr:rowOff>
                  </to>
                </anchor>
              </controlPr>
            </control>
          </mc:Choice>
        </mc:AlternateContent>
        <mc:AlternateContent xmlns:mc="http://schemas.openxmlformats.org/markup-compatibility/2006">
          <mc:Choice Requires="x14">
            <control shapeId="5141" r:id="rId22" name="Check Box 21">
              <controlPr defaultSize="0" autoFill="0" autoLine="0" autoPict="0">
                <anchor moveWithCells="1">
                  <from>
                    <xdr:col>7</xdr:col>
                    <xdr:colOff>628650</xdr:colOff>
                    <xdr:row>15</xdr:row>
                    <xdr:rowOff>28575</xdr:rowOff>
                  </from>
                  <to>
                    <xdr:col>7</xdr:col>
                    <xdr:colOff>990600</xdr:colOff>
                    <xdr:row>16</xdr:row>
                    <xdr:rowOff>38100</xdr:rowOff>
                  </to>
                </anchor>
              </controlPr>
            </control>
          </mc:Choice>
        </mc:AlternateContent>
        <mc:AlternateContent xmlns:mc="http://schemas.openxmlformats.org/markup-compatibility/2006">
          <mc:Choice Requires="x14">
            <control shapeId="5142" r:id="rId23" name="Check Box 22">
              <controlPr defaultSize="0" autoFill="0" autoLine="0" autoPict="0">
                <anchor moveWithCells="1">
                  <from>
                    <xdr:col>7</xdr:col>
                    <xdr:colOff>628650</xdr:colOff>
                    <xdr:row>16</xdr:row>
                    <xdr:rowOff>28575</xdr:rowOff>
                  </from>
                  <to>
                    <xdr:col>7</xdr:col>
                    <xdr:colOff>990600</xdr:colOff>
                    <xdr:row>17</xdr:row>
                    <xdr:rowOff>38100</xdr:rowOff>
                  </to>
                </anchor>
              </controlPr>
            </control>
          </mc:Choice>
        </mc:AlternateContent>
        <mc:AlternateContent xmlns:mc="http://schemas.openxmlformats.org/markup-compatibility/2006">
          <mc:Choice Requires="x14">
            <control shapeId="5143" r:id="rId24" name="Check Box 23">
              <controlPr defaultSize="0" autoFill="0" autoLine="0" autoPict="0">
                <anchor moveWithCells="1">
                  <from>
                    <xdr:col>7</xdr:col>
                    <xdr:colOff>628650</xdr:colOff>
                    <xdr:row>17</xdr:row>
                    <xdr:rowOff>28575</xdr:rowOff>
                  </from>
                  <to>
                    <xdr:col>7</xdr:col>
                    <xdr:colOff>990600</xdr:colOff>
                    <xdr:row>18</xdr:row>
                    <xdr:rowOff>38100</xdr:rowOff>
                  </to>
                </anchor>
              </controlPr>
            </control>
          </mc:Choice>
        </mc:AlternateContent>
        <mc:AlternateContent xmlns:mc="http://schemas.openxmlformats.org/markup-compatibility/2006">
          <mc:Choice Requires="x14">
            <control shapeId="5144" r:id="rId25" name="Check Box 24">
              <controlPr defaultSize="0" autoFill="0" autoLine="0" autoPict="0">
                <anchor moveWithCells="1">
                  <from>
                    <xdr:col>7</xdr:col>
                    <xdr:colOff>628650</xdr:colOff>
                    <xdr:row>18</xdr:row>
                    <xdr:rowOff>28575</xdr:rowOff>
                  </from>
                  <to>
                    <xdr:col>7</xdr:col>
                    <xdr:colOff>990600</xdr:colOff>
                    <xdr:row>19</xdr:row>
                    <xdr:rowOff>38100</xdr:rowOff>
                  </to>
                </anchor>
              </controlPr>
            </control>
          </mc:Choice>
        </mc:AlternateContent>
        <mc:AlternateContent xmlns:mc="http://schemas.openxmlformats.org/markup-compatibility/2006">
          <mc:Choice Requires="x14">
            <control shapeId="5150" r:id="rId26" name="Check Box 30">
              <controlPr defaultSize="0" autoFill="0" autoLine="0" autoPict="0">
                <anchor moveWithCells="1">
                  <from>
                    <xdr:col>7</xdr:col>
                    <xdr:colOff>628650</xdr:colOff>
                    <xdr:row>8</xdr:row>
                    <xdr:rowOff>28575</xdr:rowOff>
                  </from>
                  <to>
                    <xdr:col>7</xdr:col>
                    <xdr:colOff>990600</xdr:colOff>
                    <xdr:row>9</xdr:row>
                    <xdr:rowOff>38100</xdr:rowOff>
                  </to>
                </anchor>
              </controlPr>
            </control>
          </mc:Choice>
        </mc:AlternateContent>
        <mc:AlternateContent xmlns:mc="http://schemas.openxmlformats.org/markup-compatibility/2006">
          <mc:Choice Requires="x14">
            <control shapeId="5151" r:id="rId27" name="Check Box 31">
              <controlPr defaultSize="0" autoFill="0" autoLine="0" autoPict="0">
                <anchor moveWithCells="1">
                  <from>
                    <xdr:col>7</xdr:col>
                    <xdr:colOff>628650</xdr:colOff>
                    <xdr:row>9</xdr:row>
                    <xdr:rowOff>28575</xdr:rowOff>
                  </from>
                  <to>
                    <xdr:col>7</xdr:col>
                    <xdr:colOff>990600</xdr:colOff>
                    <xdr:row>10</xdr:row>
                    <xdr:rowOff>38100</xdr:rowOff>
                  </to>
                </anchor>
              </controlPr>
            </control>
          </mc:Choice>
        </mc:AlternateContent>
        <mc:AlternateContent xmlns:mc="http://schemas.openxmlformats.org/markup-compatibility/2006">
          <mc:Choice Requires="x14">
            <control shapeId="5152" r:id="rId28" name="Check Box 32">
              <controlPr defaultSize="0" autoFill="0" autoLine="0" autoPict="0">
                <anchor moveWithCells="1">
                  <from>
                    <xdr:col>7</xdr:col>
                    <xdr:colOff>628650</xdr:colOff>
                    <xdr:row>10</xdr:row>
                    <xdr:rowOff>28575</xdr:rowOff>
                  </from>
                  <to>
                    <xdr:col>7</xdr:col>
                    <xdr:colOff>990600</xdr:colOff>
                    <xdr:row>11</xdr:row>
                    <xdr:rowOff>38100</xdr:rowOff>
                  </to>
                </anchor>
              </controlPr>
            </control>
          </mc:Choice>
        </mc:AlternateContent>
        <mc:AlternateContent xmlns:mc="http://schemas.openxmlformats.org/markup-compatibility/2006">
          <mc:Choice Requires="x14">
            <control shapeId="5153" r:id="rId29" name="Check Box 33">
              <controlPr defaultSize="0" autoFill="0" autoLine="0" autoPict="0">
                <anchor moveWithCells="1">
                  <from>
                    <xdr:col>7</xdr:col>
                    <xdr:colOff>628650</xdr:colOff>
                    <xdr:row>11</xdr:row>
                    <xdr:rowOff>28575</xdr:rowOff>
                  </from>
                  <to>
                    <xdr:col>7</xdr:col>
                    <xdr:colOff>990600</xdr:colOff>
                    <xdr:row>12</xdr:row>
                    <xdr:rowOff>38100</xdr:rowOff>
                  </to>
                </anchor>
              </controlPr>
            </control>
          </mc:Choice>
        </mc:AlternateContent>
        <mc:AlternateContent xmlns:mc="http://schemas.openxmlformats.org/markup-compatibility/2006">
          <mc:Choice Requires="x14">
            <control shapeId="5154" r:id="rId30" name="Check Box 34">
              <controlPr defaultSize="0" autoFill="0" autoLine="0" autoPict="0">
                <anchor moveWithCells="1">
                  <from>
                    <xdr:col>7</xdr:col>
                    <xdr:colOff>628650</xdr:colOff>
                    <xdr:row>12</xdr:row>
                    <xdr:rowOff>28575</xdr:rowOff>
                  </from>
                  <to>
                    <xdr:col>7</xdr:col>
                    <xdr:colOff>990600</xdr:colOff>
                    <xdr:row>13</xdr:row>
                    <xdr:rowOff>38100</xdr:rowOff>
                  </to>
                </anchor>
              </controlPr>
            </control>
          </mc:Choice>
        </mc:AlternateContent>
        <mc:AlternateContent xmlns:mc="http://schemas.openxmlformats.org/markup-compatibility/2006">
          <mc:Choice Requires="x14">
            <control shapeId="5155" r:id="rId31" name="Check Box 35">
              <controlPr defaultSize="0" autoFill="0" autoLine="0" autoPict="0">
                <anchor moveWithCells="1">
                  <from>
                    <xdr:col>7</xdr:col>
                    <xdr:colOff>628650</xdr:colOff>
                    <xdr:row>13</xdr:row>
                    <xdr:rowOff>28575</xdr:rowOff>
                  </from>
                  <to>
                    <xdr:col>7</xdr:col>
                    <xdr:colOff>990600</xdr:colOff>
                    <xdr:row>14</xdr:row>
                    <xdr:rowOff>38100</xdr:rowOff>
                  </to>
                </anchor>
              </controlPr>
            </control>
          </mc:Choice>
        </mc:AlternateContent>
        <mc:AlternateContent xmlns:mc="http://schemas.openxmlformats.org/markup-compatibility/2006">
          <mc:Choice Requires="x14">
            <control shapeId="5156" r:id="rId32" name="Check Box 36">
              <controlPr defaultSize="0" autoFill="0" autoLine="0" autoPict="0">
                <anchor moveWithCells="1">
                  <from>
                    <xdr:col>7</xdr:col>
                    <xdr:colOff>628650</xdr:colOff>
                    <xdr:row>14</xdr:row>
                    <xdr:rowOff>28575</xdr:rowOff>
                  </from>
                  <to>
                    <xdr:col>7</xdr:col>
                    <xdr:colOff>990600</xdr:colOff>
                    <xdr:row>15</xdr:row>
                    <xdr:rowOff>38100</xdr:rowOff>
                  </to>
                </anchor>
              </controlPr>
            </control>
          </mc:Choice>
        </mc:AlternateContent>
        <mc:AlternateContent xmlns:mc="http://schemas.openxmlformats.org/markup-compatibility/2006">
          <mc:Choice Requires="x14">
            <control shapeId="5157" r:id="rId33" name="Check Box 37">
              <controlPr defaultSize="0" autoFill="0" autoLine="0" autoPict="0">
                <anchor moveWithCells="1">
                  <from>
                    <xdr:col>7</xdr:col>
                    <xdr:colOff>628650</xdr:colOff>
                    <xdr:row>15</xdr:row>
                    <xdr:rowOff>28575</xdr:rowOff>
                  </from>
                  <to>
                    <xdr:col>7</xdr:col>
                    <xdr:colOff>990600</xdr:colOff>
                    <xdr:row>16</xdr:row>
                    <xdr:rowOff>38100</xdr:rowOff>
                  </to>
                </anchor>
              </controlPr>
            </control>
          </mc:Choice>
        </mc:AlternateContent>
        <mc:AlternateContent xmlns:mc="http://schemas.openxmlformats.org/markup-compatibility/2006">
          <mc:Choice Requires="x14">
            <control shapeId="5158" r:id="rId34" name="Check Box 38">
              <controlPr defaultSize="0" autoFill="0" autoLine="0" autoPict="0">
                <anchor moveWithCells="1">
                  <from>
                    <xdr:col>7</xdr:col>
                    <xdr:colOff>628650</xdr:colOff>
                    <xdr:row>16</xdr:row>
                    <xdr:rowOff>28575</xdr:rowOff>
                  </from>
                  <to>
                    <xdr:col>7</xdr:col>
                    <xdr:colOff>990600</xdr:colOff>
                    <xdr:row>17</xdr:row>
                    <xdr:rowOff>38100</xdr:rowOff>
                  </to>
                </anchor>
              </controlPr>
            </control>
          </mc:Choice>
        </mc:AlternateContent>
        <mc:AlternateContent xmlns:mc="http://schemas.openxmlformats.org/markup-compatibility/2006">
          <mc:Choice Requires="x14">
            <control shapeId="5159" r:id="rId35" name="Check Box 39">
              <controlPr defaultSize="0" autoFill="0" autoLine="0" autoPict="0">
                <anchor moveWithCells="1">
                  <from>
                    <xdr:col>7</xdr:col>
                    <xdr:colOff>628650</xdr:colOff>
                    <xdr:row>17</xdr:row>
                    <xdr:rowOff>28575</xdr:rowOff>
                  </from>
                  <to>
                    <xdr:col>7</xdr:col>
                    <xdr:colOff>990600</xdr:colOff>
                    <xdr:row>18</xdr:row>
                    <xdr:rowOff>38100</xdr:rowOff>
                  </to>
                </anchor>
              </controlPr>
            </control>
          </mc:Choice>
        </mc:AlternateContent>
        <mc:AlternateContent xmlns:mc="http://schemas.openxmlformats.org/markup-compatibility/2006">
          <mc:Choice Requires="x14">
            <control shapeId="5160" r:id="rId36" name="Check Box 40">
              <controlPr defaultSize="0" autoFill="0" autoLine="0" autoPict="0">
                <anchor moveWithCells="1">
                  <from>
                    <xdr:col>7</xdr:col>
                    <xdr:colOff>628650</xdr:colOff>
                    <xdr:row>18</xdr:row>
                    <xdr:rowOff>28575</xdr:rowOff>
                  </from>
                  <to>
                    <xdr:col>7</xdr:col>
                    <xdr:colOff>990600</xdr:colOff>
                    <xdr:row>19</xdr:row>
                    <xdr:rowOff>38100</xdr:rowOff>
                  </to>
                </anchor>
              </controlPr>
            </control>
          </mc:Choice>
        </mc:AlternateContent>
        <mc:AlternateContent xmlns:mc="http://schemas.openxmlformats.org/markup-compatibility/2006">
          <mc:Choice Requires="x14">
            <control shapeId="5167" r:id="rId37" name="Check Box 47">
              <controlPr defaultSize="0" autoFill="0" autoLine="0" autoPict="0">
                <anchor moveWithCells="1">
                  <from>
                    <xdr:col>7</xdr:col>
                    <xdr:colOff>628650</xdr:colOff>
                    <xdr:row>8</xdr:row>
                    <xdr:rowOff>28575</xdr:rowOff>
                  </from>
                  <to>
                    <xdr:col>7</xdr:col>
                    <xdr:colOff>990600</xdr:colOff>
                    <xdr:row>9</xdr:row>
                    <xdr:rowOff>38100</xdr:rowOff>
                  </to>
                </anchor>
              </controlPr>
            </control>
          </mc:Choice>
        </mc:AlternateContent>
        <mc:AlternateContent xmlns:mc="http://schemas.openxmlformats.org/markup-compatibility/2006">
          <mc:Choice Requires="x14">
            <control shapeId="5168" r:id="rId38" name="Check Box 48">
              <controlPr defaultSize="0" autoFill="0" autoLine="0" autoPict="0">
                <anchor moveWithCells="1">
                  <from>
                    <xdr:col>7</xdr:col>
                    <xdr:colOff>628650</xdr:colOff>
                    <xdr:row>9</xdr:row>
                    <xdr:rowOff>28575</xdr:rowOff>
                  </from>
                  <to>
                    <xdr:col>7</xdr:col>
                    <xdr:colOff>990600</xdr:colOff>
                    <xdr:row>10</xdr:row>
                    <xdr:rowOff>38100</xdr:rowOff>
                  </to>
                </anchor>
              </controlPr>
            </control>
          </mc:Choice>
        </mc:AlternateContent>
        <mc:AlternateContent xmlns:mc="http://schemas.openxmlformats.org/markup-compatibility/2006">
          <mc:Choice Requires="x14">
            <control shapeId="5169" r:id="rId39" name="Check Box 49">
              <controlPr defaultSize="0" autoFill="0" autoLine="0" autoPict="0">
                <anchor moveWithCells="1">
                  <from>
                    <xdr:col>7</xdr:col>
                    <xdr:colOff>628650</xdr:colOff>
                    <xdr:row>10</xdr:row>
                    <xdr:rowOff>28575</xdr:rowOff>
                  </from>
                  <to>
                    <xdr:col>7</xdr:col>
                    <xdr:colOff>990600</xdr:colOff>
                    <xdr:row>11</xdr:row>
                    <xdr:rowOff>38100</xdr:rowOff>
                  </to>
                </anchor>
              </controlPr>
            </control>
          </mc:Choice>
        </mc:AlternateContent>
        <mc:AlternateContent xmlns:mc="http://schemas.openxmlformats.org/markup-compatibility/2006">
          <mc:Choice Requires="x14">
            <control shapeId="5170" r:id="rId40" name="Check Box 50">
              <controlPr defaultSize="0" autoFill="0" autoLine="0" autoPict="0">
                <anchor moveWithCells="1">
                  <from>
                    <xdr:col>7</xdr:col>
                    <xdr:colOff>628650</xdr:colOff>
                    <xdr:row>11</xdr:row>
                    <xdr:rowOff>28575</xdr:rowOff>
                  </from>
                  <to>
                    <xdr:col>7</xdr:col>
                    <xdr:colOff>990600</xdr:colOff>
                    <xdr:row>12</xdr:row>
                    <xdr:rowOff>38100</xdr:rowOff>
                  </to>
                </anchor>
              </controlPr>
            </control>
          </mc:Choice>
        </mc:AlternateContent>
        <mc:AlternateContent xmlns:mc="http://schemas.openxmlformats.org/markup-compatibility/2006">
          <mc:Choice Requires="x14">
            <control shapeId="5171" r:id="rId41" name="Check Box 51">
              <controlPr defaultSize="0" autoFill="0" autoLine="0" autoPict="0">
                <anchor moveWithCells="1">
                  <from>
                    <xdr:col>7</xdr:col>
                    <xdr:colOff>628650</xdr:colOff>
                    <xdr:row>12</xdr:row>
                    <xdr:rowOff>28575</xdr:rowOff>
                  </from>
                  <to>
                    <xdr:col>7</xdr:col>
                    <xdr:colOff>990600</xdr:colOff>
                    <xdr:row>13</xdr:row>
                    <xdr:rowOff>38100</xdr:rowOff>
                  </to>
                </anchor>
              </controlPr>
            </control>
          </mc:Choice>
        </mc:AlternateContent>
        <mc:AlternateContent xmlns:mc="http://schemas.openxmlformats.org/markup-compatibility/2006">
          <mc:Choice Requires="x14">
            <control shapeId="5172" r:id="rId42" name="Check Box 52">
              <controlPr defaultSize="0" autoFill="0" autoLine="0" autoPict="0">
                <anchor moveWithCells="1">
                  <from>
                    <xdr:col>7</xdr:col>
                    <xdr:colOff>628650</xdr:colOff>
                    <xdr:row>13</xdr:row>
                    <xdr:rowOff>28575</xdr:rowOff>
                  </from>
                  <to>
                    <xdr:col>7</xdr:col>
                    <xdr:colOff>990600</xdr:colOff>
                    <xdr:row>14</xdr:row>
                    <xdr:rowOff>38100</xdr:rowOff>
                  </to>
                </anchor>
              </controlPr>
            </control>
          </mc:Choice>
        </mc:AlternateContent>
        <mc:AlternateContent xmlns:mc="http://schemas.openxmlformats.org/markup-compatibility/2006">
          <mc:Choice Requires="x14">
            <control shapeId="5173" r:id="rId43" name="Check Box 53">
              <controlPr defaultSize="0" autoFill="0" autoLine="0" autoPict="0">
                <anchor moveWithCells="1">
                  <from>
                    <xdr:col>7</xdr:col>
                    <xdr:colOff>628650</xdr:colOff>
                    <xdr:row>14</xdr:row>
                    <xdr:rowOff>28575</xdr:rowOff>
                  </from>
                  <to>
                    <xdr:col>7</xdr:col>
                    <xdr:colOff>990600</xdr:colOff>
                    <xdr:row>15</xdr:row>
                    <xdr:rowOff>38100</xdr:rowOff>
                  </to>
                </anchor>
              </controlPr>
            </control>
          </mc:Choice>
        </mc:AlternateContent>
        <mc:AlternateContent xmlns:mc="http://schemas.openxmlformats.org/markup-compatibility/2006">
          <mc:Choice Requires="x14">
            <control shapeId="5174" r:id="rId44" name="Check Box 54">
              <controlPr defaultSize="0" autoFill="0" autoLine="0" autoPict="0">
                <anchor moveWithCells="1">
                  <from>
                    <xdr:col>7</xdr:col>
                    <xdr:colOff>628650</xdr:colOff>
                    <xdr:row>15</xdr:row>
                    <xdr:rowOff>28575</xdr:rowOff>
                  </from>
                  <to>
                    <xdr:col>7</xdr:col>
                    <xdr:colOff>990600</xdr:colOff>
                    <xdr:row>16</xdr:row>
                    <xdr:rowOff>38100</xdr:rowOff>
                  </to>
                </anchor>
              </controlPr>
            </control>
          </mc:Choice>
        </mc:AlternateContent>
        <mc:AlternateContent xmlns:mc="http://schemas.openxmlformats.org/markup-compatibility/2006">
          <mc:Choice Requires="x14">
            <control shapeId="5175" r:id="rId45" name="Check Box 55">
              <controlPr defaultSize="0" autoFill="0" autoLine="0" autoPict="0">
                <anchor moveWithCells="1">
                  <from>
                    <xdr:col>7</xdr:col>
                    <xdr:colOff>628650</xdr:colOff>
                    <xdr:row>16</xdr:row>
                    <xdr:rowOff>28575</xdr:rowOff>
                  </from>
                  <to>
                    <xdr:col>7</xdr:col>
                    <xdr:colOff>990600</xdr:colOff>
                    <xdr:row>17</xdr:row>
                    <xdr:rowOff>38100</xdr:rowOff>
                  </to>
                </anchor>
              </controlPr>
            </control>
          </mc:Choice>
        </mc:AlternateContent>
        <mc:AlternateContent xmlns:mc="http://schemas.openxmlformats.org/markup-compatibility/2006">
          <mc:Choice Requires="x14">
            <control shapeId="5176" r:id="rId46" name="Check Box 56">
              <controlPr defaultSize="0" autoFill="0" autoLine="0" autoPict="0">
                <anchor moveWithCells="1">
                  <from>
                    <xdr:col>7</xdr:col>
                    <xdr:colOff>628650</xdr:colOff>
                    <xdr:row>17</xdr:row>
                    <xdr:rowOff>28575</xdr:rowOff>
                  </from>
                  <to>
                    <xdr:col>7</xdr:col>
                    <xdr:colOff>990600</xdr:colOff>
                    <xdr:row>18</xdr:row>
                    <xdr:rowOff>38100</xdr:rowOff>
                  </to>
                </anchor>
              </controlPr>
            </control>
          </mc:Choice>
        </mc:AlternateContent>
        <mc:AlternateContent xmlns:mc="http://schemas.openxmlformats.org/markup-compatibility/2006">
          <mc:Choice Requires="x14">
            <control shapeId="5177" r:id="rId47" name="Check Box 57">
              <controlPr defaultSize="0" autoFill="0" autoLine="0" autoPict="0">
                <anchor moveWithCells="1">
                  <from>
                    <xdr:col>7</xdr:col>
                    <xdr:colOff>628650</xdr:colOff>
                    <xdr:row>18</xdr:row>
                    <xdr:rowOff>28575</xdr:rowOff>
                  </from>
                  <to>
                    <xdr:col>7</xdr:col>
                    <xdr:colOff>990600</xdr:colOff>
                    <xdr:row>19</xdr:row>
                    <xdr:rowOff>38100</xdr:rowOff>
                  </to>
                </anchor>
              </controlPr>
            </control>
          </mc:Choice>
        </mc:AlternateContent>
      </controls>
    </mc:Choice>
  </mc:AlternateContent>
  <tableParts count="2">
    <tablePart r:id="rId48"/>
    <tablePart r:id="rId4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1F77-18FF-4F4F-985D-F0600AF79FB6}">
  <sheetPr>
    <tabColor theme="4" tint="0.79998168889431442"/>
  </sheetPr>
  <dimension ref="A1:L157"/>
  <sheetViews>
    <sheetView view="pageBreakPreview" zoomScale="85" zoomScaleNormal="100" zoomScaleSheetLayoutView="85" workbookViewId="0">
      <selection activeCell="C15" sqref="C15:J15"/>
    </sheetView>
  </sheetViews>
  <sheetFormatPr defaultRowHeight="18.75"/>
  <cols>
    <col min="1" max="1" width="1.25" customWidth="1"/>
    <col min="2" max="2" width="1.25" style="106" customWidth="1"/>
    <col min="3" max="3" width="5.5" customWidth="1"/>
    <col min="4" max="4" width="2.375" customWidth="1"/>
    <col min="5" max="5" width="4.75" customWidth="1"/>
    <col min="6" max="6" width="28" customWidth="1"/>
    <col min="7" max="7" width="29.375" customWidth="1"/>
    <col min="8" max="8" width="14.625" customWidth="1"/>
    <col min="9" max="9" width="5.375" customWidth="1"/>
    <col min="10" max="10" width="5.125" customWidth="1"/>
    <col min="11" max="11" width="4" customWidth="1"/>
    <col min="15" max="15" width="9" customWidth="1"/>
  </cols>
  <sheetData>
    <row r="1" spans="2:12">
      <c r="B1" s="105"/>
      <c r="C1" s="5"/>
      <c r="D1" s="5"/>
      <c r="E1" s="5"/>
      <c r="F1" s="5"/>
      <c r="G1" s="5"/>
      <c r="H1" s="5"/>
      <c r="I1" s="5"/>
      <c r="J1" s="5"/>
      <c r="K1" s="5"/>
    </row>
    <row r="2" spans="2:12" ht="28.5">
      <c r="C2" s="6" t="s">
        <v>43</v>
      </c>
      <c r="D2" s="6"/>
      <c r="E2" s="6"/>
      <c r="F2" s="5"/>
      <c r="G2" s="5"/>
      <c r="H2" s="5"/>
      <c r="I2" s="5"/>
      <c r="J2" s="5"/>
      <c r="K2" s="5"/>
      <c r="L2" s="156"/>
    </row>
    <row r="3" spans="2:12">
      <c r="B3" s="105"/>
      <c r="C3" s="5"/>
      <c r="D3" s="5"/>
      <c r="E3" s="5"/>
      <c r="F3" s="5"/>
      <c r="G3" s="5"/>
      <c r="H3" s="291">
        <f>解約情報入力!B15</f>
        <v>45574</v>
      </c>
      <c r="I3" s="291"/>
      <c r="J3" s="291"/>
      <c r="K3" s="127"/>
    </row>
    <row r="4" spans="2:12">
      <c r="C4" s="16"/>
      <c r="D4" s="16"/>
      <c r="E4" s="16"/>
      <c r="F4" s="16"/>
      <c r="G4" s="16"/>
      <c r="H4" s="5"/>
      <c r="I4" s="5"/>
      <c r="J4" s="5"/>
    </row>
    <row r="5" spans="2:12">
      <c r="C5" s="293" t="str">
        <f>解約情報入力!B21&amp;"　様"</f>
        <v>　様</v>
      </c>
      <c r="D5" s="293"/>
      <c r="E5" s="293"/>
      <c r="F5" s="293"/>
      <c r="G5" s="16"/>
      <c r="H5" s="5"/>
      <c r="I5" s="5"/>
      <c r="J5" s="5"/>
    </row>
    <row r="6" spans="2:12">
      <c r="B6" s="107"/>
      <c r="C6" s="294"/>
      <c r="D6" s="294"/>
      <c r="E6" s="294"/>
      <c r="F6" s="294"/>
      <c r="H6" s="5"/>
      <c r="I6" s="5"/>
      <c r="J6" s="5"/>
    </row>
    <row r="7" spans="2:12">
      <c r="B7" s="105"/>
      <c r="D7" s="5"/>
      <c r="E7" s="5"/>
      <c r="F7" s="5"/>
      <c r="G7" s="5"/>
      <c r="H7" s="292"/>
      <c r="I7" s="292"/>
      <c r="J7" s="292"/>
    </row>
    <row r="8" spans="2:12" ht="18.75" customHeight="1">
      <c r="B8" s="105"/>
      <c r="C8" s="5" t="s">
        <v>45</v>
      </c>
      <c r="E8" s="5"/>
      <c r="F8" s="5"/>
      <c r="G8" s="5"/>
      <c r="I8" s="8"/>
      <c r="J8" s="8" t="str">
        <f>"担当："&amp;基本情報入力!$B$13</f>
        <v>担当：</v>
      </c>
    </row>
    <row r="9" spans="2:12">
      <c r="C9" s="5" t="s">
        <v>46</v>
      </c>
      <c r="E9" s="5"/>
      <c r="F9" s="5"/>
      <c r="G9" s="5"/>
      <c r="H9" s="8"/>
      <c r="I9" s="8"/>
      <c r="J9" s="8" t="e">
        <f>VLOOKUP(基本情報入力!$B$12,基本情報入力!$N$71:$S$1003,2,FALSE)</f>
        <v>#N/A</v>
      </c>
    </row>
    <row r="10" spans="2:12">
      <c r="C10" s="5" t="s">
        <v>47</v>
      </c>
      <c r="E10" s="5"/>
      <c r="F10" s="5"/>
      <c r="G10" s="5"/>
      <c r="H10" s="5"/>
      <c r="I10" s="8"/>
      <c r="J10" s="8" t="e">
        <f>VLOOKUP(基本情報入力!$B$12,基本情報入力!$N$71:$S$1003,3,FALSE)</f>
        <v>#N/A</v>
      </c>
    </row>
    <row r="11" spans="2:12">
      <c r="D11" s="5"/>
      <c r="E11" s="5"/>
      <c r="F11" s="5"/>
      <c r="G11" s="5"/>
      <c r="H11" s="5"/>
      <c r="I11" s="8"/>
      <c r="J11" s="8" t="e">
        <f>VLOOKUP(基本情報入力!$B$12,基本情報入力!$N$71:$S$1003,4,FALSE)</f>
        <v>#N/A</v>
      </c>
    </row>
    <row r="12" spans="2:12">
      <c r="B12" s="105"/>
      <c r="C12" s="5"/>
      <c r="D12" s="5"/>
      <c r="E12" s="5"/>
      <c r="F12" s="5"/>
      <c r="G12" s="5"/>
      <c r="H12" s="8"/>
      <c r="I12" s="8"/>
      <c r="J12" s="8" t="e">
        <f>"TEL："&amp;VLOOKUP(基本情報入力!$B$13,基本情報入力!$G$71:$H$1003,2,FALSE)</f>
        <v>#N/A</v>
      </c>
    </row>
    <row r="13" spans="2:12">
      <c r="B13" s="105"/>
      <c r="C13" s="5"/>
      <c r="D13" s="5"/>
      <c r="E13" s="5"/>
      <c r="F13" s="5"/>
      <c r="G13" s="5"/>
      <c r="H13" s="8"/>
      <c r="I13" s="8"/>
      <c r="J13" s="8" t="e">
        <f>"FAX："&amp;VLOOKUP(基本情報入力!$B$12,基本情報入力!$N$71:$S$1003,6,FALSE)</f>
        <v>#N/A</v>
      </c>
    </row>
    <row r="14" spans="2:12" ht="12.75" customHeight="1">
      <c r="B14" s="105"/>
      <c r="C14" s="5"/>
      <c r="D14" s="5"/>
      <c r="E14" s="5"/>
      <c r="F14" s="5"/>
      <c r="G14" s="5"/>
      <c r="H14" s="5"/>
      <c r="I14" s="5"/>
      <c r="J14" s="5"/>
      <c r="K14" s="5"/>
    </row>
    <row r="15" spans="2:12" ht="21.75" customHeight="1">
      <c r="C15" s="295" t="s">
        <v>50</v>
      </c>
      <c r="D15" s="295"/>
      <c r="E15" s="295"/>
      <c r="F15" s="295"/>
      <c r="G15" s="295"/>
      <c r="H15" s="295"/>
      <c r="I15" s="295"/>
      <c r="J15" s="295"/>
      <c r="K15" s="5"/>
    </row>
    <row r="16" spans="2:12" ht="12.75" customHeight="1">
      <c r="B16" s="105"/>
      <c r="C16" s="5"/>
      <c r="D16" s="5"/>
      <c r="E16" s="5"/>
      <c r="F16" s="5"/>
      <c r="G16" s="5"/>
      <c r="H16" s="5"/>
      <c r="I16" s="5"/>
      <c r="J16" s="5"/>
      <c r="K16" s="5"/>
    </row>
    <row r="17" spans="1:11">
      <c r="B17" s="105"/>
      <c r="C17" s="296" t="s">
        <v>51</v>
      </c>
      <c r="D17" s="297"/>
      <c r="E17" s="297"/>
      <c r="F17" s="298"/>
      <c r="G17" s="298"/>
      <c r="H17" s="298"/>
      <c r="I17" s="299" t="s">
        <v>291</v>
      </c>
      <c r="J17" s="300"/>
      <c r="K17" s="128"/>
    </row>
    <row r="18" spans="1:11" ht="33" customHeight="1">
      <c r="A18" s="5"/>
      <c r="B18" s="108" t="str">
        <f>$D18&amp;""</f>
        <v>委任状</v>
      </c>
      <c r="C18" s="9" t="str">
        <f>IF($D18="","",基本情報入力!$F9)</f>
        <v>⑴</v>
      </c>
      <c r="D18" s="277" t="str">
        <f>IF(解約情報入力!$G16="","",解約情報入力!$G16)&amp;IFERROR(VLOOKUP(解約情報入力!$G16,プルダウン!$B$4:$C$29,2,FALSE),"")&amp;""</f>
        <v>委任状</v>
      </c>
      <c r="E18" s="277"/>
      <c r="F18" s="277"/>
      <c r="G18" s="277"/>
      <c r="H18" s="278"/>
      <c r="I18" s="204" t="str">
        <f>解約情報入力!H16&amp;""</f>
        <v>4</v>
      </c>
      <c r="J18" s="129" t="str">
        <f>IF($I18="","","通")</f>
        <v>通</v>
      </c>
      <c r="K18" s="5"/>
    </row>
    <row r="19" spans="1:11" ht="33" customHeight="1">
      <c r="A19" s="5"/>
      <c r="B19" s="108" t="str">
        <f t="shared" ref="B19:B27" si="0">$D19&amp;""</f>
        <v>解約金入金先口座番号記入用紙</v>
      </c>
      <c r="C19" s="9" t="str">
        <f>IF($D19="","",基本情報入力!$F10)</f>
        <v>⑵</v>
      </c>
      <c r="D19" s="279" t="str">
        <f>IF(解約情報入力!$G17="","",解約情報入力!$G17)&amp;IFERROR(VLOOKUP(解約情報入力!$G17,プルダウン!$B$4:$C$29,2,FALSE),"")&amp;""</f>
        <v>解約金入金先口座番号記入用紙</v>
      </c>
      <c r="E19" s="279"/>
      <c r="F19" s="279"/>
      <c r="G19" s="279"/>
      <c r="H19" s="280"/>
      <c r="I19" s="204" t="str">
        <f>解約情報入力!H17&amp;""</f>
        <v>1</v>
      </c>
      <c r="J19" s="129" t="str">
        <f t="shared" ref="J19:J26" si="1">IF($I19="","","通")</f>
        <v>通</v>
      </c>
      <c r="K19" s="5"/>
    </row>
    <row r="20" spans="1:11" ht="33" customHeight="1">
      <c r="A20" s="5"/>
      <c r="B20" s="108" t="str">
        <f t="shared" si="0"/>
        <v>証券移管先口座番号記入用紙</v>
      </c>
      <c r="C20" s="9" t="str">
        <f>IF($D20="","",基本情報入力!$F11)</f>
        <v>⑶</v>
      </c>
      <c r="D20" s="279" t="str">
        <f>IF(解約情報入力!$G18="","",解約情報入力!$G18)&amp;IFERROR(VLOOKUP(解約情報入力!$G18,プルダウン!$B$4:$C$29,2,FALSE),"")&amp;""</f>
        <v>証券移管先口座番号記入用紙</v>
      </c>
      <c r="E20" s="279"/>
      <c r="F20" s="279"/>
      <c r="G20" s="279"/>
      <c r="H20" s="280"/>
      <c r="I20" s="204" t="str">
        <f>解約情報入力!H18&amp;""</f>
        <v>1</v>
      </c>
      <c r="J20" s="129" t="str">
        <f t="shared" si="1"/>
        <v>通</v>
      </c>
      <c r="K20" s="5"/>
    </row>
    <row r="21" spans="1:11" ht="33" customHeight="1">
      <c r="A21" s="5"/>
      <c r="B21" s="108" t="str">
        <f t="shared" si="0"/>
        <v>証券移管先口座番号記入用紙（特別口座用）</v>
      </c>
      <c r="C21" s="9" t="str">
        <f>IF($D21="","",基本情報入力!$F12)</f>
        <v>⑷</v>
      </c>
      <c r="D21" s="279" t="str">
        <f>IF(解約情報入力!$G19="","",解約情報入力!$G19)&amp;IFERROR(VLOOKUP(解約情報入力!$G19,プルダウン!$B$4:$C$29,2,FALSE),"")&amp;""</f>
        <v>証券移管先口座番号記入用紙（特別口座用）</v>
      </c>
      <c r="E21" s="279"/>
      <c r="F21" s="279"/>
      <c r="G21" s="279"/>
      <c r="H21" s="280"/>
      <c r="I21" s="204" t="str">
        <f>解約情報入力!H19&amp;""</f>
        <v>1</v>
      </c>
      <c r="J21" s="129" t="str">
        <f t="shared" si="1"/>
        <v>通</v>
      </c>
      <c r="K21" s="5"/>
    </row>
    <row r="22" spans="1:11" ht="33" customHeight="1">
      <c r="A22" s="5"/>
      <c r="B22" s="108" t="str">
        <f t="shared" si="0"/>
        <v>返信用封筒　※書類返送にご使用ください</v>
      </c>
      <c r="C22" s="9" t="str">
        <f>IF($D22="","",基本情報入力!$F13)</f>
        <v>⑸</v>
      </c>
      <c r="D22" s="281" t="str">
        <f>IF(解約情報入力!$G20="","",解約情報入力!$G20)&amp;IFERROR(VLOOKUP(解約情報入力!$G20,プルダウン!$B$4:$C$29,2,FALSE),"")&amp;""</f>
        <v>返信用封筒　※書類返送にご使用ください</v>
      </c>
      <c r="E22" s="281"/>
      <c r="F22" s="281"/>
      <c r="G22" s="281"/>
      <c r="H22" s="282"/>
      <c r="I22" s="204" t="str">
        <f>解約情報入力!H20&amp;""</f>
        <v>1</v>
      </c>
      <c r="J22" s="129" t="str">
        <f>IF($I22="","","通")</f>
        <v>通</v>
      </c>
      <c r="K22" s="5"/>
    </row>
    <row r="23" spans="1:11" ht="33" customHeight="1">
      <c r="A23" s="5"/>
      <c r="B23" s="108" t="str">
        <f t="shared" si="0"/>
        <v>遺産分割協議成立後のスケジュール</v>
      </c>
      <c r="C23" s="9" t="str">
        <f>IF($D23="","",基本情報入力!$F14)</f>
        <v>⑹</v>
      </c>
      <c r="D23" s="279" t="str">
        <f>IF(解約情報入力!$G21="","",解約情報入力!$G21)&amp;IFERROR(VLOOKUP(解約情報入力!$G21,プルダウン!$B$4:$C$29,2,FALSE),"")&amp;""</f>
        <v>遺産分割協議成立後のスケジュール</v>
      </c>
      <c r="E23" s="279"/>
      <c r="F23" s="279"/>
      <c r="G23" s="279"/>
      <c r="H23" s="280"/>
      <c r="I23" s="204" t="str">
        <f>解約情報入力!H21&amp;""</f>
        <v>1</v>
      </c>
      <c r="J23" s="129" t="str">
        <f t="shared" si="1"/>
        <v>通</v>
      </c>
      <c r="K23" s="5"/>
    </row>
    <row r="24" spans="1:11" ht="33" customHeight="1">
      <c r="A24" s="5"/>
      <c r="B24" s="108" t="str">
        <f t="shared" si="0"/>
        <v/>
      </c>
      <c r="C24" s="9" t="str">
        <f>IF($D24="","",基本情報入力!$F15)</f>
        <v/>
      </c>
      <c r="D24" s="279" t="str">
        <f>IF(解約情報入力!$G22="","",解約情報入力!$G22)&amp;IFERROR(VLOOKUP(解約情報入力!$G22,プルダウン!$B$4:$C$29,2,FALSE),"")&amp;""</f>
        <v/>
      </c>
      <c r="E24" s="279"/>
      <c r="F24" s="279"/>
      <c r="G24" s="279"/>
      <c r="H24" s="280"/>
      <c r="I24" s="204" t="str">
        <f>解約情報入力!H22&amp;""</f>
        <v/>
      </c>
      <c r="J24" s="129" t="str">
        <f t="shared" si="1"/>
        <v/>
      </c>
      <c r="K24" s="5"/>
    </row>
    <row r="25" spans="1:11" ht="33" customHeight="1">
      <c r="A25" s="5"/>
      <c r="B25" s="108" t="str">
        <f t="shared" si="0"/>
        <v/>
      </c>
      <c r="C25" s="9" t="str">
        <f>IF($D25="","",基本情報入力!$F16)</f>
        <v/>
      </c>
      <c r="D25" s="279" t="str">
        <f>IF(解約情報入力!$G23="","",解約情報入力!$G23)&amp;IFERROR(VLOOKUP(解約情報入力!$G23,プルダウン!$B$4:$C$29,2,FALSE),"")&amp;""</f>
        <v/>
      </c>
      <c r="E25" s="279"/>
      <c r="F25" s="279"/>
      <c r="G25" s="279"/>
      <c r="H25" s="280"/>
      <c r="I25" s="204" t="str">
        <f>解約情報入力!H23&amp;""</f>
        <v/>
      </c>
      <c r="J25" s="129" t="str">
        <f t="shared" si="1"/>
        <v/>
      </c>
      <c r="K25" s="5"/>
    </row>
    <row r="26" spans="1:11" ht="33" customHeight="1">
      <c r="A26" s="5"/>
      <c r="B26" s="108" t="str">
        <f t="shared" si="0"/>
        <v/>
      </c>
      <c r="C26" s="9" t="str">
        <f>IF($D26="","",基本情報入力!$F17)</f>
        <v/>
      </c>
      <c r="D26" s="279" t="str">
        <f>IF(解約情報入力!$G24="","",解約情報入力!$G24)&amp;IFERROR(VLOOKUP(解約情報入力!$G24,プルダウン!$B$4:$C$29,2,FALSE),"")&amp;""</f>
        <v/>
      </c>
      <c r="E26" s="279"/>
      <c r="F26" s="279"/>
      <c r="G26" s="279"/>
      <c r="H26" s="280"/>
      <c r="I26" s="204" t="str">
        <f>解約情報入力!H24&amp;""</f>
        <v/>
      </c>
      <c r="J26" s="129" t="str">
        <f t="shared" si="1"/>
        <v/>
      </c>
      <c r="K26" s="5"/>
    </row>
    <row r="27" spans="1:11" ht="33" customHeight="1">
      <c r="A27" s="5"/>
      <c r="B27" s="108" t="str">
        <f t="shared" si="0"/>
        <v/>
      </c>
      <c r="C27" s="9" t="str">
        <f>IF($D27="","",基本情報入力!$F18)</f>
        <v/>
      </c>
      <c r="D27" s="279" t="str">
        <f>IF(解約情報入力!$G25="","",解約情報入力!$G25)&amp;IFERROR(VLOOKUP(解約情報入力!$G25,プルダウン!$B$4:$C$29,2,FALSE),"")&amp;""</f>
        <v/>
      </c>
      <c r="E27" s="279"/>
      <c r="F27" s="279"/>
      <c r="G27" s="279"/>
      <c r="H27" s="280"/>
      <c r="I27" s="204" t="str">
        <f>解約情報入力!H25&amp;""</f>
        <v/>
      </c>
      <c r="J27" s="129" t="str">
        <f>IF($I27="","","通")</f>
        <v/>
      </c>
      <c r="K27" s="5"/>
    </row>
    <row r="28" spans="1:11" ht="22.5" customHeight="1">
      <c r="B28" s="105"/>
      <c r="C28" s="10" t="s">
        <v>53</v>
      </c>
      <c r="D28" s="11"/>
      <c r="E28" s="11"/>
      <c r="F28" s="11"/>
      <c r="G28" s="11"/>
      <c r="H28" s="11"/>
      <c r="I28" s="11"/>
      <c r="J28" s="12"/>
      <c r="K28" s="5"/>
    </row>
    <row r="29" spans="1:11" ht="87.75" customHeight="1">
      <c r="B29" s="163"/>
      <c r="C29" s="303" t="s">
        <v>452</v>
      </c>
      <c r="D29" s="304"/>
      <c r="E29" s="304"/>
      <c r="F29" s="304"/>
      <c r="G29" s="304"/>
      <c r="H29" s="304"/>
      <c r="I29" s="304"/>
      <c r="J29" s="305"/>
      <c r="K29" s="5"/>
    </row>
    <row r="30" spans="1:11" ht="85.5" customHeight="1">
      <c r="A30" s="162"/>
      <c r="B30" s="163"/>
      <c r="C30" s="306"/>
      <c r="D30" s="307"/>
      <c r="E30" s="307"/>
      <c r="F30" s="307"/>
      <c r="G30" s="307"/>
      <c r="H30" s="307"/>
      <c r="I30" s="307"/>
      <c r="J30" s="308"/>
      <c r="K30" s="5"/>
    </row>
    <row r="31" spans="1:11" ht="9" customHeight="1">
      <c r="A31" s="163"/>
      <c r="B31" s="163"/>
      <c r="C31" s="191"/>
      <c r="D31" s="191"/>
      <c r="E31" s="191"/>
      <c r="F31" s="191"/>
      <c r="G31" s="191"/>
      <c r="H31" s="191"/>
      <c r="I31" s="191"/>
      <c r="J31" s="191"/>
      <c r="K31" s="5"/>
    </row>
    <row r="32" spans="1:11" ht="34.5" customHeight="1">
      <c r="B32" s="105"/>
      <c r="C32" s="132" t="s">
        <v>81</v>
      </c>
      <c r="D32" s="130"/>
      <c r="E32" s="130"/>
      <c r="F32" s="126"/>
      <c r="G32" s="139" t="str">
        <f>C5</f>
        <v>　様</v>
      </c>
      <c r="H32" s="49"/>
      <c r="I32" s="301"/>
      <c r="J32" s="301"/>
      <c r="K32" s="5"/>
    </row>
    <row r="33" spans="2:11" ht="10.5" customHeight="1">
      <c r="B33" s="105"/>
      <c r="C33" s="49"/>
      <c r="D33" s="49"/>
      <c r="E33" s="49"/>
      <c r="F33" s="49"/>
      <c r="G33" s="49"/>
      <c r="H33" s="49"/>
      <c r="I33" s="49"/>
      <c r="J33" s="49"/>
      <c r="K33" s="5"/>
    </row>
    <row r="34" spans="2:11">
      <c r="B34" s="105"/>
      <c r="C34" s="302" t="s">
        <v>161</v>
      </c>
      <c r="D34" s="302"/>
      <c r="E34" s="302"/>
      <c r="F34" s="302"/>
      <c r="G34" s="302"/>
      <c r="H34" s="302"/>
      <c r="I34" s="302"/>
      <c r="J34" s="302"/>
      <c r="K34" s="5"/>
    </row>
    <row r="35" spans="2:11" ht="29.25" customHeight="1">
      <c r="C35" s="138" t="s">
        <v>162</v>
      </c>
      <c r="D35" s="47"/>
      <c r="E35" s="47"/>
      <c r="F35" s="36"/>
      <c r="G35" s="36"/>
      <c r="H35" s="36"/>
      <c r="I35" s="36"/>
      <c r="J35" s="36"/>
    </row>
    <row r="36" spans="2:11" ht="34.5" customHeight="1">
      <c r="C36" s="283" t="s">
        <v>82</v>
      </c>
      <c r="D36" s="284"/>
      <c r="E36" s="137" t="s">
        <v>160</v>
      </c>
      <c r="F36" s="136" t="s">
        <v>84</v>
      </c>
      <c r="G36" s="283" t="s">
        <v>163</v>
      </c>
      <c r="H36" s="284"/>
      <c r="I36" s="290" t="s">
        <v>164</v>
      </c>
      <c r="J36" s="287"/>
    </row>
    <row r="37" spans="2:11" ht="48" customHeight="1">
      <c r="C37" s="285" t="str">
        <f t="shared" ref="C37:C46" si="2">IF($I37="","","□")</f>
        <v>□</v>
      </c>
      <c r="D37" s="286"/>
      <c r="E37" s="233" t="str" cm="1">
        <f t="array" ref="E37:F40">_xlfn._xlws.FILTER(解約情報入力!$F$16:$G$25,解約情報入力!$I$16:$I$25&lt;&gt;"")</f>
        <v>⑴</v>
      </c>
      <c r="F37" s="133" t="str">
        <v>委任状</v>
      </c>
      <c r="G37" s="288" t="str">
        <f>IFERROR(VLOOKUP($F37,プルダウン!$B$4:$D$29,3,FALSE),"")&amp;""</f>
        <v>ご署名ご捺印（実印）のうえ、ご返送願います。</v>
      </c>
      <c r="H37" s="289"/>
      <c r="I37" s="134" t="str">
        <f>IFERROR(VLOOKUP($F37,解約情報入力!$G$16:$J$25,4,FALSE),"")&amp;""</f>
        <v>4</v>
      </c>
      <c r="J37" s="135" t="str">
        <f t="shared" ref="J37:J44" si="3">IF($I37="","","通")</f>
        <v>通</v>
      </c>
    </row>
    <row r="38" spans="2:11" ht="48" customHeight="1">
      <c r="C38" s="285" t="str">
        <f t="shared" si="2"/>
        <v>□</v>
      </c>
      <c r="D38" s="286"/>
      <c r="E38" s="233" t="str">
        <v>⑵</v>
      </c>
      <c r="F38" s="133" t="str">
        <v>解約金入金先口座番号記入用紙</v>
      </c>
      <c r="G38" s="288" t="str">
        <f>IFERROR(VLOOKUP($F38,プルダウン!$B$4:$D$29,3,FALSE),"")&amp;""</f>
        <v>内容をご確認のうえ、被相続人様の預貯金の解約金送金先に指定される口座の情報をご記入願います。</v>
      </c>
      <c r="H38" s="289"/>
      <c r="I38" s="134" t="str">
        <f>IFERROR(VLOOKUP($F38,解約情報入力!$G$16:$J$25,4,FALSE),"")&amp;""</f>
        <v>1</v>
      </c>
      <c r="J38" s="135" t="str">
        <f t="shared" si="3"/>
        <v>通</v>
      </c>
    </row>
    <row r="39" spans="2:11" ht="48" customHeight="1">
      <c r="C39" s="285" t="str">
        <f t="shared" si="2"/>
        <v>□</v>
      </c>
      <c r="D39" s="286"/>
      <c r="E39" s="233" t="str">
        <v>⑶</v>
      </c>
      <c r="F39" s="133" t="str">
        <v>証券移管先口座番号記入用紙</v>
      </c>
      <c r="G39" s="288" t="str">
        <f>IFERROR(VLOOKUP($F39,プルダウン!$B$4:$D$29,3,FALSE),"")&amp;""</f>
        <v>内容をご確認のうえ、被相続人様の有価証券の移管先に指定される証券口座の情報をご記入願います。</v>
      </c>
      <c r="H39" s="289"/>
      <c r="I39" s="134" t="str">
        <f>IFERROR(VLOOKUP($F39,解約情報入力!$G$16:$J$25,4,FALSE),"")&amp;""</f>
        <v>1</v>
      </c>
      <c r="J39" s="135" t="str">
        <f t="shared" si="3"/>
        <v>通</v>
      </c>
    </row>
    <row r="40" spans="2:11" ht="48" customHeight="1">
      <c r="C40" s="285" t="str">
        <f>IF($I40="","","□")</f>
        <v>□</v>
      </c>
      <c r="D40" s="286"/>
      <c r="E40" s="233" t="str">
        <v>⑷</v>
      </c>
      <c r="F40" s="133" t="str">
        <v>証券移管先口座番号記入用紙（特別口座用）</v>
      </c>
      <c r="G40" s="288" t="str">
        <f>IFERROR(VLOOKUP($F40,プルダウン!$B$4:$D$29,3,FALSE),"")&amp;""</f>
        <v>内容をご確認のうえ、被相続人様の有価証券の移管先に指定される証券口座の情報と、21桁の加入者口座コードをご記入願います。</v>
      </c>
      <c r="H40" s="289"/>
      <c r="I40" s="134" t="str">
        <f>IFERROR(VLOOKUP($F40,解約情報入力!$G$16:$J$25,4,FALSE),"")&amp;""</f>
        <v>1</v>
      </c>
      <c r="J40" s="135" t="str">
        <f>IF($I40="","","通")</f>
        <v>通</v>
      </c>
    </row>
    <row r="41" spans="2:11" ht="48" customHeight="1">
      <c r="C41" s="285" t="str">
        <f>IF($I41="","","□")</f>
        <v/>
      </c>
      <c r="D41" s="286"/>
      <c r="E41" s="233"/>
      <c r="F41" s="133"/>
      <c r="G41" s="288" t="str">
        <f>IFERROR(VLOOKUP($F41,プルダウン!$B$4:$D$29,3,FALSE),"")&amp;""</f>
        <v/>
      </c>
      <c r="H41" s="289"/>
      <c r="I41" s="134" t="str">
        <f>IFERROR(VLOOKUP($F41,解約情報入力!$G$16:$J$25,4,FALSE),"")&amp;""</f>
        <v/>
      </c>
      <c r="J41" s="135" t="str">
        <f t="shared" si="3"/>
        <v/>
      </c>
    </row>
    <row r="42" spans="2:11" ht="48" customHeight="1">
      <c r="C42" s="285" t="str">
        <f t="shared" si="2"/>
        <v/>
      </c>
      <c r="D42" s="286"/>
      <c r="E42" s="233"/>
      <c r="F42" s="133"/>
      <c r="G42" s="288" t="str">
        <f>IFERROR(VLOOKUP($F42,プルダウン!$B$4:$D$29,3,FALSE),"")&amp;""</f>
        <v/>
      </c>
      <c r="H42" s="289"/>
      <c r="I42" s="134" t="str">
        <f>IFERROR(VLOOKUP($F42,解約情報入力!$G$16:$J$25,4,FALSE),"")&amp;""</f>
        <v/>
      </c>
      <c r="J42" s="135" t="str">
        <f t="shared" si="3"/>
        <v/>
      </c>
    </row>
    <row r="43" spans="2:11" ht="48" customHeight="1">
      <c r="C43" s="285" t="str">
        <f t="shared" si="2"/>
        <v/>
      </c>
      <c r="D43" s="286"/>
      <c r="E43" s="233"/>
      <c r="F43" s="133"/>
      <c r="G43" s="288" t="str">
        <f>IFERROR(VLOOKUP($F43,プルダウン!$B$4:$D$29,3,FALSE),"")&amp;""</f>
        <v/>
      </c>
      <c r="H43" s="289"/>
      <c r="I43" s="134" t="str">
        <f>IFERROR(VLOOKUP($F43,解約情報入力!$G$16:$J$25,4,FALSE),"")&amp;""</f>
        <v/>
      </c>
      <c r="J43" s="135" t="str">
        <f t="shared" si="3"/>
        <v/>
      </c>
    </row>
    <row r="44" spans="2:11" ht="48" customHeight="1">
      <c r="C44" s="285" t="str">
        <f t="shared" si="2"/>
        <v/>
      </c>
      <c r="D44" s="286"/>
      <c r="E44" s="233"/>
      <c r="F44" s="133"/>
      <c r="G44" s="288" t="str">
        <f>IFERROR(VLOOKUP($F44,プルダウン!$B$4:$D$29,3,FALSE),"")&amp;""</f>
        <v/>
      </c>
      <c r="H44" s="289"/>
      <c r="I44" s="134" t="str">
        <f>IFERROR(VLOOKUP($F44,解約情報入力!$G$16:$J$25,4,FALSE),"")&amp;""</f>
        <v/>
      </c>
      <c r="J44" s="135" t="str">
        <f t="shared" si="3"/>
        <v/>
      </c>
    </row>
    <row r="45" spans="2:11" ht="48" customHeight="1">
      <c r="C45" s="285" t="str">
        <f>IF($I45="","","□")</f>
        <v/>
      </c>
      <c r="D45" s="286"/>
      <c r="E45" s="233"/>
      <c r="F45" s="133"/>
      <c r="G45" s="288" t="str">
        <f>IFERROR(VLOOKUP($F45,プルダウン!$B$4:$D$29,3,FALSE),"")&amp;""</f>
        <v/>
      </c>
      <c r="H45" s="289"/>
      <c r="I45" s="134" t="str">
        <f>IFERROR(VLOOKUP($F45,解約情報入力!$G$16:$J$25,4,FALSE),"")&amp;""</f>
        <v/>
      </c>
      <c r="J45" s="135" t="str">
        <f>IF($I45="","","通")</f>
        <v/>
      </c>
    </row>
    <row r="46" spans="2:11" ht="48" customHeight="1">
      <c r="C46" s="285" t="str">
        <f t="shared" si="2"/>
        <v/>
      </c>
      <c r="D46" s="286"/>
      <c r="E46" s="233"/>
      <c r="F46" s="133"/>
      <c r="G46" s="288" t="str">
        <f>IFERROR(VLOOKUP($F46,プルダウン!$B$4:$D$29,3,FALSE),"")&amp;""</f>
        <v/>
      </c>
      <c r="H46" s="289"/>
      <c r="I46" s="134" t="str">
        <f>IFERROR(VLOOKUP($F46,解約情報入力!$G$16:$J$25,4,FALSE),"")&amp;""</f>
        <v/>
      </c>
      <c r="J46" s="135" t="str">
        <f>IF($I46="","","通")</f>
        <v/>
      </c>
    </row>
    <row r="47" spans="2:11" ht="39" customHeight="1">
      <c r="C47" s="140" t="s">
        <v>285</v>
      </c>
      <c r="D47" s="48"/>
      <c r="E47" s="48"/>
      <c r="F47" s="38"/>
      <c r="G47" s="39"/>
      <c r="H47" s="40"/>
      <c r="I47" s="41"/>
      <c r="J47" s="41"/>
    </row>
    <row r="48" spans="2:11" ht="32.25" customHeight="1">
      <c r="C48" s="283" t="s">
        <v>82</v>
      </c>
      <c r="D48" s="284"/>
      <c r="E48" s="283" t="s">
        <v>84</v>
      </c>
      <c r="F48" s="284"/>
      <c r="G48" s="287" t="s">
        <v>163</v>
      </c>
      <c r="H48" s="287"/>
      <c r="I48" s="290" t="s">
        <v>164</v>
      </c>
      <c r="J48" s="287"/>
    </row>
    <row r="49" spans="2:10" ht="48" customHeight="1">
      <c r="C49" s="285" t="str">
        <f t="shared" ref="C49:C50" si="4">IF($E49="","","□")</f>
        <v>□</v>
      </c>
      <c r="D49" s="286"/>
      <c r="E49" s="285" t="str">
        <f>解約情報入力!G26&amp;""</f>
        <v>印鑑証明書（原本）</v>
      </c>
      <c r="F49" s="286"/>
      <c r="G49" s="288" t="str">
        <f>IFERROR(IF(E49="印鑑証明書（原本）",$C$5&amp;"分の"&amp;(VLOOKUP($E49,プルダウン!$E$4:$F$29,2,FALSE)),VLOOKUP($E49,プルダウン!$E$4:$F$29,2,FALSE)),"")&amp;""</f>
        <v>　様分の約1ヵ月以内に発行した印鑑証明書を右記通数ご返送願います。※マイナンバーカードがあれば、コンビニ取得可能です</v>
      </c>
      <c r="H49" s="289"/>
      <c r="I49" s="134" t="str">
        <f>解約情報入力!J26&amp;""</f>
        <v>4</v>
      </c>
      <c r="J49" s="135" t="str" cm="1">
        <f t="array" ref="J49">_xlfn.IFS($I49="","",$G49="すべて","",TRUE,"通")</f>
        <v>通</v>
      </c>
    </row>
    <row r="50" spans="2:10" ht="48" customHeight="1">
      <c r="C50" s="285" t="str">
        <f t="shared" si="4"/>
        <v/>
      </c>
      <c r="D50" s="286"/>
      <c r="E50" s="285" t="str">
        <f>解約情報入力!G27&amp;""</f>
        <v/>
      </c>
      <c r="F50" s="286"/>
      <c r="G50" s="288" t="str">
        <f>IFERROR(IF(E50="印鑑証明書（原本）",$C$5&amp;"分の"&amp;(VLOOKUP($E50,プルダウン!$E$4:$F$29,2,FALSE)),VLOOKUP($E50,プルダウン!$E$4:$F$29,2,FALSE)),"")&amp;""</f>
        <v/>
      </c>
      <c r="H50" s="289"/>
      <c r="I50" s="134" t="str">
        <f>解約情報入力!J27&amp;""</f>
        <v/>
      </c>
      <c r="J50" s="135" t="str" cm="1">
        <f t="array" ref="J50">_xlfn.IFS($I50="","",$G50="すべて","",TRUE,"通")</f>
        <v/>
      </c>
    </row>
    <row r="51" spans="2:10" ht="48" customHeight="1">
      <c r="B51"/>
      <c r="C51" s="285" t="str">
        <f>IF($E51="","","□")</f>
        <v/>
      </c>
      <c r="D51" s="286"/>
      <c r="E51" s="285" t="str">
        <f>解約情報入力!G28&amp;""</f>
        <v/>
      </c>
      <c r="F51" s="286"/>
      <c r="G51" s="288" t="str">
        <f>IFERROR(IF(E51="印鑑証明書（原本）",$C$5&amp;"分の"&amp;(VLOOKUP($E51,プルダウン!$E$4:$F$29,2,FALSE)),VLOOKUP($E51,プルダウン!$E$4:$F$29,2,FALSE)),"")&amp;""</f>
        <v/>
      </c>
      <c r="H51" s="289"/>
      <c r="I51" s="134" t="str">
        <f>解約情報入力!J28&amp;""</f>
        <v/>
      </c>
      <c r="J51" s="135" t="str" cm="1">
        <f t="array" ref="J51">_xlfn.IFS($I51="","",$G51="すべて","",TRUE,"通")</f>
        <v/>
      </c>
    </row>
    <row r="52" spans="2:10" ht="21" customHeight="1">
      <c r="B52"/>
    </row>
    <row r="53" spans="2:10" ht="23.25" customHeight="1">
      <c r="B53"/>
    </row>
    <row r="54" spans="2:10">
      <c r="B54"/>
    </row>
    <row r="55" spans="2:10">
      <c r="B55"/>
    </row>
    <row r="56" spans="2:10">
      <c r="B56"/>
    </row>
    <row r="57" spans="2:10">
      <c r="B57"/>
    </row>
    <row r="58" spans="2:10">
      <c r="B58"/>
    </row>
    <row r="59" spans="2:10">
      <c r="B59"/>
    </row>
    <row r="60" spans="2:10">
      <c r="B60"/>
    </row>
    <row r="61" spans="2:10" ht="18.75" customHeight="1">
      <c r="B61"/>
    </row>
    <row r="62" spans="2:10">
      <c r="B62"/>
    </row>
    <row r="63" spans="2:10" ht="18.75" customHeight="1">
      <c r="B63"/>
    </row>
    <row r="64" spans="2:10">
      <c r="B64"/>
    </row>
    <row r="65" spans="2:2" ht="12.75" customHeight="1">
      <c r="B65"/>
    </row>
    <row r="66" spans="2:2">
      <c r="B66"/>
    </row>
    <row r="67" spans="2:2" ht="18.75" customHeight="1">
      <c r="B67"/>
    </row>
    <row r="68" spans="2:2" ht="11.25" customHeight="1">
      <c r="B68"/>
    </row>
    <row r="69" spans="2:2">
      <c r="B69"/>
    </row>
    <row r="70" spans="2:2">
      <c r="B70"/>
    </row>
    <row r="71" spans="2:2" ht="18.75" customHeight="1">
      <c r="B71"/>
    </row>
    <row r="72" spans="2:2">
      <c r="B72"/>
    </row>
    <row r="73" spans="2:2" ht="6" customHeight="1">
      <c r="B73"/>
    </row>
    <row r="74" spans="2:2" ht="18.75" customHeight="1">
      <c r="B74"/>
    </row>
    <row r="75" spans="2:2" ht="12" customHeight="1">
      <c r="B75"/>
    </row>
    <row r="76" spans="2:2" ht="18" customHeight="1">
      <c r="B76"/>
    </row>
    <row r="77" spans="2:2">
      <c r="B77"/>
    </row>
    <row r="78" spans="2:2">
      <c r="B78"/>
    </row>
    <row r="79" spans="2:2">
      <c r="B79"/>
    </row>
    <row r="80" spans="2:2" ht="9.75" customHeight="1">
      <c r="B80"/>
    </row>
    <row r="81" spans="2:2">
      <c r="B81"/>
    </row>
    <row r="82" spans="2:2">
      <c r="B82"/>
    </row>
    <row r="83" spans="2:2" ht="18.75" customHeight="1">
      <c r="B83"/>
    </row>
    <row r="84" spans="2:2">
      <c r="B84"/>
    </row>
    <row r="85" spans="2:2" ht="18.75" customHeight="1">
      <c r="B85"/>
    </row>
    <row r="86" spans="2:2">
      <c r="B86"/>
    </row>
    <row r="87" spans="2:2">
      <c r="B87"/>
    </row>
    <row r="88" spans="2:2">
      <c r="B88"/>
    </row>
    <row r="89" spans="2:2" ht="9" customHeight="1">
      <c r="B89"/>
    </row>
    <row r="90" spans="2:2">
      <c r="B90"/>
    </row>
    <row r="91" spans="2:2" ht="9.75" customHeight="1">
      <c r="B91"/>
    </row>
    <row r="92" spans="2:2">
      <c r="B92"/>
    </row>
    <row r="93" spans="2:2">
      <c r="B93"/>
    </row>
    <row r="94" spans="2:2" ht="12" customHeight="1">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10">
      <c r="B129"/>
    </row>
    <row r="130" spans="2:10">
      <c r="B130"/>
    </row>
    <row r="131" spans="2:10">
      <c r="B131"/>
    </row>
    <row r="132" spans="2:10">
      <c r="B132"/>
    </row>
    <row r="133" spans="2:10">
      <c r="B133"/>
    </row>
    <row r="134" spans="2:10">
      <c r="B134"/>
    </row>
    <row r="135" spans="2:10">
      <c r="B135"/>
    </row>
    <row r="136" spans="2:10">
      <c r="B136"/>
    </row>
    <row r="137" spans="2:10">
      <c r="B137"/>
    </row>
    <row r="138" spans="2:10">
      <c r="B138"/>
    </row>
    <row r="139" spans="2:10">
      <c r="B139"/>
    </row>
    <row r="140" spans="2:10">
      <c r="B140"/>
    </row>
    <row r="141" spans="2:10">
      <c r="C141" s="15"/>
      <c r="D141" s="15"/>
      <c r="E141" s="15"/>
      <c r="F141" s="15"/>
      <c r="G141" s="15"/>
      <c r="H141" s="15"/>
      <c r="I141" s="15"/>
      <c r="J141" s="15"/>
    </row>
    <row r="142" spans="2:10">
      <c r="C142" s="15"/>
      <c r="D142" s="15"/>
      <c r="E142" s="15"/>
      <c r="F142" s="15"/>
      <c r="G142" s="15"/>
      <c r="H142" s="15"/>
      <c r="I142" s="15"/>
      <c r="J142" s="15"/>
    </row>
    <row r="143" spans="2:10">
      <c r="C143" s="15"/>
      <c r="D143" s="15"/>
      <c r="E143" s="15"/>
      <c r="F143" s="15"/>
      <c r="G143" s="15"/>
      <c r="H143" s="15"/>
      <c r="I143" s="15"/>
      <c r="J143" s="15"/>
    </row>
    <row r="144" spans="2:10">
      <c r="C144" s="15"/>
      <c r="D144" s="15"/>
      <c r="E144" s="15"/>
      <c r="F144" s="15"/>
      <c r="G144" s="15"/>
      <c r="H144" s="15"/>
      <c r="I144" s="15"/>
      <c r="J144" s="15"/>
    </row>
    <row r="145" spans="3:10">
      <c r="C145" s="15"/>
      <c r="D145" s="15"/>
      <c r="E145" s="15"/>
      <c r="F145" s="15"/>
      <c r="G145" s="15"/>
      <c r="H145" s="15"/>
      <c r="I145" s="15"/>
      <c r="J145" s="15"/>
    </row>
    <row r="146" spans="3:10">
      <c r="C146" s="15"/>
      <c r="D146" s="15"/>
      <c r="E146" s="15"/>
      <c r="F146" s="15"/>
      <c r="G146" s="15"/>
      <c r="H146" s="15"/>
      <c r="I146" s="15"/>
      <c r="J146" s="15"/>
    </row>
    <row r="147" spans="3:10">
      <c r="C147" s="15"/>
      <c r="D147" s="15"/>
      <c r="E147" s="15"/>
      <c r="F147" s="15"/>
      <c r="G147" s="15"/>
      <c r="H147" s="15"/>
      <c r="I147" s="15"/>
      <c r="J147" s="15"/>
    </row>
    <row r="148" spans="3:10">
      <c r="C148" s="15"/>
      <c r="D148" s="15"/>
      <c r="E148" s="15"/>
      <c r="F148" s="15"/>
      <c r="G148" s="15"/>
      <c r="H148" s="15"/>
      <c r="I148" s="15"/>
      <c r="J148" s="15"/>
    </row>
    <row r="149" spans="3:10">
      <c r="C149" s="15"/>
      <c r="D149" s="15"/>
      <c r="E149" s="15"/>
      <c r="F149" s="15"/>
      <c r="G149" s="15"/>
      <c r="H149" s="15"/>
      <c r="I149" s="15"/>
      <c r="J149" s="15"/>
    </row>
    <row r="150" spans="3:10">
      <c r="C150" s="15"/>
      <c r="D150" s="15"/>
      <c r="E150" s="15"/>
      <c r="F150" s="15"/>
      <c r="G150" s="15"/>
      <c r="H150" s="15"/>
      <c r="I150" s="15"/>
      <c r="J150" s="15"/>
    </row>
    <row r="151" spans="3:10">
      <c r="C151" s="15"/>
      <c r="D151" s="15"/>
      <c r="E151" s="15"/>
      <c r="F151" s="15"/>
      <c r="G151" s="15"/>
      <c r="H151" s="15"/>
      <c r="I151" s="15"/>
      <c r="J151" s="15"/>
    </row>
    <row r="152" spans="3:10">
      <c r="C152" s="15"/>
      <c r="D152" s="15"/>
      <c r="E152" s="15"/>
      <c r="F152" s="15"/>
      <c r="G152" s="15"/>
      <c r="H152" s="15"/>
      <c r="I152" s="15"/>
      <c r="J152" s="15"/>
    </row>
    <row r="153" spans="3:10">
      <c r="C153" s="15"/>
      <c r="D153" s="15"/>
      <c r="E153" s="15"/>
      <c r="F153" s="15"/>
      <c r="G153" s="15"/>
      <c r="H153" s="15"/>
      <c r="I153" s="15"/>
      <c r="J153" s="15"/>
    </row>
    <row r="154" spans="3:10">
      <c r="C154" s="15"/>
      <c r="D154" s="15"/>
      <c r="E154" s="15"/>
      <c r="F154" s="15"/>
      <c r="G154" s="15"/>
      <c r="H154" s="15"/>
      <c r="I154" s="15"/>
      <c r="J154" s="15"/>
    </row>
    <row r="155" spans="3:10">
      <c r="C155" s="15"/>
      <c r="D155" s="15"/>
      <c r="E155" s="15"/>
      <c r="F155" s="15"/>
      <c r="G155" s="15"/>
      <c r="H155" s="15"/>
      <c r="I155" s="15"/>
      <c r="J155" s="15"/>
    </row>
    <row r="156" spans="3:10">
      <c r="C156" s="15"/>
      <c r="D156" s="15"/>
      <c r="E156" s="15"/>
      <c r="F156" s="15"/>
      <c r="G156" s="15"/>
      <c r="H156" s="15"/>
      <c r="I156" s="15"/>
      <c r="J156" s="15"/>
    </row>
    <row r="157" spans="3:10">
      <c r="C157" s="15"/>
      <c r="D157" s="15"/>
      <c r="E157" s="15"/>
      <c r="F157" s="15"/>
      <c r="G157" s="15"/>
      <c r="H157" s="15"/>
      <c r="I157" s="15"/>
      <c r="J157" s="15"/>
    </row>
  </sheetData>
  <mergeCells count="55">
    <mergeCell ref="C51:D51"/>
    <mergeCell ref="E51:F51"/>
    <mergeCell ref="G51:H51"/>
    <mergeCell ref="D26:H26"/>
    <mergeCell ref="D25:H25"/>
    <mergeCell ref="C44:D44"/>
    <mergeCell ref="C45:D45"/>
    <mergeCell ref="G44:H44"/>
    <mergeCell ref="G45:H45"/>
    <mergeCell ref="G43:H43"/>
    <mergeCell ref="G46:H46"/>
    <mergeCell ref="C36:D36"/>
    <mergeCell ref="C37:D37"/>
    <mergeCell ref="C38:D38"/>
    <mergeCell ref="C39:D39"/>
    <mergeCell ref="C40:D40"/>
    <mergeCell ref="I36:J36"/>
    <mergeCell ref="I48:J48"/>
    <mergeCell ref="H3:J3"/>
    <mergeCell ref="H7:J7"/>
    <mergeCell ref="C5:F6"/>
    <mergeCell ref="C15:J15"/>
    <mergeCell ref="C17:H17"/>
    <mergeCell ref="I17:J17"/>
    <mergeCell ref="G36:H36"/>
    <mergeCell ref="G37:H37"/>
    <mergeCell ref="I32:J32"/>
    <mergeCell ref="C34:J34"/>
    <mergeCell ref="C29:J30"/>
    <mergeCell ref="D23:H23"/>
    <mergeCell ref="D24:H24"/>
    <mergeCell ref="D27:H27"/>
    <mergeCell ref="C41:D41"/>
    <mergeCell ref="C42:D42"/>
    <mergeCell ref="C43:D43"/>
    <mergeCell ref="C46:D46"/>
    <mergeCell ref="G38:H38"/>
    <mergeCell ref="G39:H39"/>
    <mergeCell ref="G40:H40"/>
    <mergeCell ref="G41:H41"/>
    <mergeCell ref="G42:H42"/>
    <mergeCell ref="C48:D48"/>
    <mergeCell ref="C50:D50"/>
    <mergeCell ref="C49:D49"/>
    <mergeCell ref="G48:H48"/>
    <mergeCell ref="G49:H49"/>
    <mergeCell ref="G50:H50"/>
    <mergeCell ref="E48:F48"/>
    <mergeCell ref="E49:F49"/>
    <mergeCell ref="E50:F50"/>
    <mergeCell ref="D18:H18"/>
    <mergeCell ref="D19:H19"/>
    <mergeCell ref="D20:H20"/>
    <mergeCell ref="D21:H21"/>
    <mergeCell ref="D22:H22"/>
  </mergeCells>
  <phoneticPr fontId="2"/>
  <conditionalFormatting sqref="H3:J3">
    <cfRule type="expression" dxfId="1" priority="1">
      <formula>$H$3=""</formula>
    </cfRule>
  </conditionalFormatting>
  <printOptions horizontalCentered="1"/>
  <pageMargins left="0.23622047244094491" right="0.23622047244094491" top="0.74803149606299213" bottom="0.74803149606299213" header="0.31496062992125984" footer="0.31496062992125984"/>
  <pageSetup paperSize="9" scale="87" fitToHeight="2" orientation="portrait" r:id="rId1"/>
  <rowBreaks count="1" manualBreakCount="1">
    <brk id="31" min="2"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76E8-EA5E-4B1D-BC2E-4F2AF86D09ED}">
  <sheetPr codeName="Sheet9">
    <tabColor theme="7" tint="0.79998168889431442"/>
  </sheetPr>
  <dimension ref="A1:N49"/>
  <sheetViews>
    <sheetView view="pageBreakPreview" topLeftCell="A11" zoomScaleNormal="100" zoomScaleSheetLayoutView="100" workbookViewId="0">
      <selection activeCell="A18" sqref="A18:J18"/>
    </sheetView>
  </sheetViews>
  <sheetFormatPr defaultRowHeight="18.75"/>
  <cols>
    <col min="1" max="1" width="4" customWidth="1"/>
    <col min="2" max="2" width="5.5" customWidth="1"/>
    <col min="3" max="3" width="2" customWidth="1"/>
    <col min="4" max="4" width="12.125" customWidth="1"/>
    <col min="5" max="5" width="3.875" customWidth="1"/>
    <col min="6" max="6" width="12.75" customWidth="1"/>
    <col min="7" max="7" width="14.5" customWidth="1"/>
    <col min="8" max="8" width="5.5" customWidth="1"/>
    <col min="9" max="9" width="10.25" customWidth="1"/>
    <col min="10" max="10" width="7.25" customWidth="1"/>
    <col min="11" max="11" width="5.625" customWidth="1"/>
    <col min="12" max="12" width="8.375" customWidth="1"/>
    <col min="13" max="13" width="14.375" customWidth="1"/>
  </cols>
  <sheetData>
    <row r="1" spans="1:14" ht="12.75" customHeight="1">
      <c r="A1" s="15"/>
      <c r="B1" s="15"/>
      <c r="C1" s="15"/>
      <c r="D1" s="15"/>
      <c r="E1" s="15"/>
      <c r="F1" s="15"/>
      <c r="G1" s="15"/>
      <c r="H1" s="15"/>
      <c r="I1" s="15"/>
      <c r="J1" s="317" t="str">
        <f>IFERROR(VLOOKUP($D$2,送付状・返送書類リスト!$B$18:$C$27,2,FALSE),"")</f>
        <v>⑴</v>
      </c>
      <c r="K1" s="317"/>
    </row>
    <row r="2" spans="1:14" ht="21" customHeight="1">
      <c r="A2" s="71"/>
      <c r="B2" s="71"/>
      <c r="C2" s="71"/>
      <c r="D2" s="316" t="s">
        <v>239</v>
      </c>
      <c r="E2" s="316"/>
      <c r="F2" s="316"/>
      <c r="G2" s="316"/>
      <c r="H2" s="316"/>
      <c r="I2" s="316"/>
      <c r="J2" s="317"/>
      <c r="K2" s="317"/>
      <c r="N2" s="156"/>
    </row>
    <row r="3" spans="1:14" ht="6" customHeight="1">
      <c r="A3" s="15"/>
      <c r="B3" s="15"/>
      <c r="C3" s="15"/>
      <c r="D3" s="15"/>
      <c r="E3" s="15"/>
      <c r="F3" s="15"/>
      <c r="G3" s="15"/>
      <c r="H3" s="15"/>
      <c r="I3" s="15"/>
      <c r="J3" s="15"/>
      <c r="K3" s="15"/>
    </row>
    <row r="4" spans="1:14">
      <c r="A4" s="323" t="s">
        <v>85</v>
      </c>
      <c r="B4" s="323"/>
      <c r="C4" s="323"/>
      <c r="D4" s="323"/>
      <c r="E4" s="15" t="str">
        <f>基本情報入力!$P72&amp;""</f>
        <v>東京都中央区八重洲1-7-20</v>
      </c>
      <c r="G4" s="15"/>
      <c r="I4" s="15" t="str">
        <f>基本情報入力!$R72&amp;""</f>
        <v>03-6868-8328</v>
      </c>
      <c r="J4" s="15"/>
      <c r="K4" s="15"/>
    </row>
    <row r="5" spans="1:14">
      <c r="A5" s="324" t="s">
        <v>86</v>
      </c>
      <c r="B5" s="324"/>
      <c r="C5" s="324"/>
      <c r="D5" s="324"/>
      <c r="E5" s="15" t="str">
        <f>基本情報入力!$P73&amp;""</f>
        <v>東京都新宿区西新宿2-7-1</v>
      </c>
      <c r="G5" s="20"/>
      <c r="I5" s="15" t="str">
        <f>基本情報入力!$R73&amp;""</f>
        <v>03-6868-8941</v>
      </c>
      <c r="J5" s="20"/>
      <c r="K5" s="20"/>
    </row>
    <row r="6" spans="1:14">
      <c r="A6" s="15"/>
      <c r="B6" s="15"/>
      <c r="C6" s="15"/>
      <c r="D6" s="15"/>
      <c r="E6" s="15" t="str">
        <f>基本情報入力!$P74&amp;""</f>
        <v>神奈川県横浜市神奈川区鶴屋町2-12-5</v>
      </c>
      <c r="G6" s="15"/>
      <c r="I6" s="15" t="str">
        <f>基本情報入力!$R74&amp;""</f>
        <v>045-550-4249</v>
      </c>
      <c r="J6" s="15"/>
      <c r="K6" s="15"/>
    </row>
    <row r="7" spans="1:14">
      <c r="A7" s="15"/>
      <c r="B7" s="15"/>
      <c r="C7" s="15"/>
      <c r="D7" s="15"/>
      <c r="E7" s="15" t="str">
        <f>基本情報入力!$P75&amp;""</f>
        <v>愛知県名古屋市中区栄3-2-3</v>
      </c>
      <c r="G7" s="15"/>
      <c r="I7" s="15" t="str">
        <f>基本情報入力!$R75&amp;""</f>
        <v>052-766-5024</v>
      </c>
      <c r="J7" s="15"/>
      <c r="K7" s="15"/>
    </row>
    <row r="8" spans="1:14">
      <c r="A8" s="15"/>
      <c r="B8" s="15"/>
      <c r="C8" s="15"/>
      <c r="D8" s="15"/>
      <c r="E8" s="15" t="str">
        <f>基本情報入力!$P76&amp;""</f>
        <v>大阪府大阪市北区中之島2-2-2</v>
      </c>
      <c r="G8" s="15"/>
      <c r="I8" s="15" t="str">
        <f>基本情報入力!$R76&amp;""</f>
        <v>06-7878-4155</v>
      </c>
      <c r="J8" s="15"/>
      <c r="K8" s="15"/>
    </row>
    <row r="9" spans="1:14" ht="9.75" customHeight="1">
      <c r="A9" s="22"/>
      <c r="B9" s="22"/>
      <c r="C9" s="22"/>
      <c r="D9" s="22"/>
      <c r="E9" s="22"/>
      <c r="G9" s="22"/>
      <c r="I9" s="22"/>
      <c r="J9" s="24"/>
      <c r="K9" s="22"/>
    </row>
    <row r="10" spans="1:14">
      <c r="A10" s="319" t="s">
        <v>127</v>
      </c>
      <c r="B10" s="319"/>
      <c r="D10" s="22" t="s">
        <v>87</v>
      </c>
    </row>
    <row r="11" spans="1:14">
      <c r="A11" s="319" t="s">
        <v>88</v>
      </c>
      <c r="B11" s="319"/>
      <c r="D11" s="22" t="str">
        <f>基本情報入力!I72</f>
        <v>清水茜作</v>
      </c>
    </row>
    <row r="12" spans="1:14" ht="18.75" customHeight="1">
      <c r="A12" s="315" t="s">
        <v>89</v>
      </c>
      <c r="B12" s="315"/>
      <c r="D12" s="325" t="str">
        <f>_xlfn.CONCAT(基本情報入力!$J$72:$J$187)</f>
        <v>伊原慶　浅倉貴行　西田竜介　藤本義昌　石川綾子　吉田幸寛　金井佑介　布施祐太郎　栗原大輔　石井祐貴　柴田彩香　松本拓弥　森町翼　鳥山剛史　中島絵里　小島文子　福岡なつみ　　　　　　　　　</v>
      </c>
      <c r="E12" s="325"/>
      <c r="F12" s="325"/>
      <c r="G12" s="325"/>
      <c r="H12" s="325"/>
      <c r="I12" s="325"/>
      <c r="J12" s="325"/>
      <c r="K12" s="325"/>
    </row>
    <row r="13" spans="1:14" ht="8.25" customHeight="1">
      <c r="A13" s="315"/>
      <c r="B13" s="315"/>
      <c r="D13" s="325"/>
      <c r="E13" s="325"/>
      <c r="F13" s="325"/>
      <c r="G13" s="325"/>
      <c r="H13" s="325"/>
      <c r="I13" s="325"/>
      <c r="J13" s="325"/>
      <c r="K13" s="325"/>
    </row>
    <row r="14" spans="1:14" ht="18.75" customHeight="1">
      <c r="A14" s="315" t="s">
        <v>90</v>
      </c>
      <c r="B14" s="315"/>
      <c r="D14" s="325" t="str">
        <f>_xlfn.CONCAT(基本情報入力!$K$72:$K$187)</f>
        <v>池田絢音　増田千尋　川原千里　山崎宇紗子　君島絵梨　青柳由里子　山口知代　増田波輝　佐竹彩　佐野雅絵　宮城明香　丸山慧子　森中絵梨佳　東三条佑圭梨　小森和正　米田由香　菊川智恵子　宇野綾華　南香南江　土田修平　星野里紗　亀岡菜摘　白金大翔　三宅真莉奈　梅田奈央　芦田昭子　安西伽奈美　宮持玲那　進藤莉花　司馬里美　辻充代　植田愛望　</v>
      </c>
      <c r="E14" s="325"/>
      <c r="F14" s="325"/>
      <c r="G14" s="325"/>
      <c r="H14" s="325"/>
      <c r="I14" s="325"/>
      <c r="J14" s="325"/>
      <c r="K14" s="325"/>
    </row>
    <row r="15" spans="1:14">
      <c r="A15" s="315"/>
      <c r="B15" s="315"/>
      <c r="D15" s="325"/>
      <c r="E15" s="325"/>
      <c r="F15" s="325"/>
      <c r="G15" s="325"/>
      <c r="H15" s="325"/>
      <c r="I15" s="325"/>
      <c r="J15" s="325"/>
      <c r="K15" s="325"/>
    </row>
    <row r="16" spans="1:14" ht="2.25" customHeight="1">
      <c r="A16" s="68"/>
      <c r="B16" s="68"/>
      <c r="D16" s="325"/>
      <c r="E16" s="325"/>
      <c r="F16" s="325"/>
      <c r="G16" s="325"/>
      <c r="H16" s="325"/>
      <c r="I16" s="325"/>
      <c r="J16" s="325"/>
      <c r="K16" s="325"/>
    </row>
    <row r="17" spans="1:11" ht="26.25" customHeight="1">
      <c r="A17" s="321" t="s">
        <v>267</v>
      </c>
      <c r="B17" s="321"/>
      <c r="C17" s="321"/>
      <c r="D17" s="321"/>
      <c r="E17" s="321"/>
      <c r="F17" s="321"/>
      <c r="G17" s="27" t="str">
        <f>基本情報入力!$C$23&amp;""</f>
        <v/>
      </c>
      <c r="H17" s="321" t="s">
        <v>242</v>
      </c>
      <c r="I17" s="321"/>
      <c r="J17" s="321"/>
      <c r="K17" s="321"/>
    </row>
    <row r="18" spans="1:11">
      <c r="A18" s="322" t="s">
        <v>128</v>
      </c>
      <c r="B18" s="322"/>
      <c r="C18" s="322"/>
      <c r="D18" s="322"/>
      <c r="E18" s="322"/>
      <c r="F18" s="322"/>
      <c r="G18" s="322"/>
      <c r="H18" s="322"/>
      <c r="I18" s="322"/>
      <c r="J18" s="322"/>
    </row>
    <row r="19" spans="1:11" ht="12.75" customHeight="1">
      <c r="D19" s="72"/>
    </row>
    <row r="20" spans="1:11">
      <c r="A20" s="320" t="s">
        <v>113</v>
      </c>
      <c r="B20" s="320"/>
      <c r="C20" s="320"/>
      <c r="D20" s="320"/>
    </row>
    <row r="21" spans="1:11">
      <c r="A21" s="25" t="s">
        <v>114</v>
      </c>
      <c r="B21" s="312" t="s">
        <v>116</v>
      </c>
      <c r="C21" s="312"/>
      <c r="D21" s="312"/>
      <c r="E21" s="312"/>
      <c r="F21" s="312"/>
      <c r="G21" s="312"/>
      <c r="H21" s="312"/>
      <c r="I21" s="312"/>
      <c r="J21" s="312"/>
      <c r="K21" s="312"/>
    </row>
    <row r="22" spans="1:11" ht="18.75" customHeight="1">
      <c r="A22" s="25" t="s">
        <v>115</v>
      </c>
      <c r="B22" s="313" t="s">
        <v>117</v>
      </c>
      <c r="C22" s="313"/>
      <c r="D22" s="313"/>
      <c r="E22" s="313"/>
      <c r="F22" s="313"/>
      <c r="G22" s="313"/>
      <c r="H22" s="313"/>
      <c r="I22" s="313"/>
      <c r="J22" s="313"/>
      <c r="K22" s="313"/>
    </row>
    <row r="23" spans="1:11">
      <c r="A23" s="25"/>
      <c r="B23" s="313"/>
      <c r="C23" s="313"/>
      <c r="D23" s="313"/>
      <c r="E23" s="313"/>
      <c r="F23" s="313"/>
      <c r="G23" s="313"/>
      <c r="H23" s="313"/>
      <c r="I23" s="313"/>
      <c r="J23" s="313"/>
      <c r="K23" s="313"/>
    </row>
    <row r="24" spans="1:11" ht="7.5" customHeight="1">
      <c r="A24" s="25"/>
      <c r="B24" s="313"/>
      <c r="C24" s="313"/>
      <c r="D24" s="313"/>
      <c r="E24" s="313"/>
      <c r="F24" s="313"/>
      <c r="G24" s="313"/>
      <c r="H24" s="313"/>
      <c r="I24" s="313"/>
      <c r="J24" s="313"/>
      <c r="K24" s="313"/>
    </row>
    <row r="25" spans="1:11" ht="18.75" customHeight="1">
      <c r="A25" s="25" t="s">
        <v>118</v>
      </c>
      <c r="B25" s="313" t="s">
        <v>273</v>
      </c>
      <c r="C25" s="313"/>
      <c r="D25" s="313"/>
      <c r="E25" s="313"/>
      <c r="F25" s="313"/>
      <c r="G25" s="313"/>
      <c r="H25" s="313"/>
      <c r="I25" s="313"/>
      <c r="J25" s="313"/>
      <c r="K25" s="313"/>
    </row>
    <row r="26" spans="1:11" ht="13.5" customHeight="1">
      <c r="A26" s="25"/>
      <c r="B26" s="313"/>
      <c r="C26" s="313"/>
      <c r="D26" s="313"/>
      <c r="E26" s="313"/>
      <c r="F26" s="313"/>
      <c r="G26" s="313"/>
      <c r="H26" s="313"/>
      <c r="I26" s="313"/>
      <c r="J26" s="313"/>
      <c r="K26" s="313"/>
    </row>
    <row r="27" spans="1:11" ht="18.75" customHeight="1">
      <c r="A27" s="25" t="s">
        <v>119</v>
      </c>
      <c r="B27" s="313" t="s">
        <v>120</v>
      </c>
      <c r="C27" s="313"/>
      <c r="D27" s="313"/>
      <c r="E27" s="313"/>
      <c r="F27" s="313"/>
      <c r="G27" s="313"/>
      <c r="H27" s="313"/>
      <c r="I27" s="313"/>
      <c r="J27" s="313"/>
      <c r="K27" s="313"/>
    </row>
    <row r="28" spans="1:11">
      <c r="A28" s="25"/>
      <c r="B28" s="313"/>
      <c r="C28" s="313"/>
      <c r="D28" s="313"/>
      <c r="E28" s="313"/>
      <c r="F28" s="313"/>
      <c r="G28" s="313"/>
      <c r="H28" s="313"/>
      <c r="I28" s="313"/>
      <c r="J28" s="313"/>
      <c r="K28" s="313"/>
    </row>
    <row r="29" spans="1:11">
      <c r="A29" s="25"/>
      <c r="B29" s="313"/>
      <c r="C29" s="313"/>
      <c r="D29" s="313"/>
      <c r="E29" s="313"/>
      <c r="F29" s="313"/>
      <c r="G29" s="313"/>
      <c r="H29" s="313"/>
      <c r="I29" s="313"/>
      <c r="J29" s="313"/>
      <c r="K29" s="313"/>
    </row>
    <row r="30" spans="1:11">
      <c r="A30" s="25"/>
      <c r="B30" s="313"/>
      <c r="C30" s="313"/>
      <c r="D30" s="313"/>
      <c r="E30" s="313"/>
      <c r="F30" s="313"/>
      <c r="G30" s="313"/>
      <c r="H30" s="313"/>
      <c r="I30" s="313"/>
      <c r="J30" s="313"/>
      <c r="K30" s="313"/>
    </row>
    <row r="31" spans="1:11" ht="9.75" customHeight="1">
      <c r="A31" s="25"/>
      <c r="B31" s="313"/>
      <c r="C31" s="313"/>
      <c r="D31" s="313"/>
      <c r="E31" s="313"/>
      <c r="F31" s="313"/>
      <c r="G31" s="313"/>
      <c r="H31" s="313"/>
      <c r="I31" s="313"/>
      <c r="J31" s="313"/>
      <c r="K31" s="313"/>
    </row>
    <row r="32" spans="1:11">
      <c r="A32" s="17" t="s">
        <v>121</v>
      </c>
      <c r="B32" s="312" t="s">
        <v>122</v>
      </c>
      <c r="C32" s="312"/>
      <c r="D32" s="312"/>
      <c r="E32" s="312"/>
      <c r="F32" s="312"/>
      <c r="G32" s="312"/>
      <c r="H32" s="312"/>
      <c r="I32" s="312"/>
      <c r="J32" s="312"/>
      <c r="K32" s="312"/>
    </row>
    <row r="33" spans="1:11">
      <c r="A33" s="17" t="s">
        <v>124</v>
      </c>
      <c r="B33" s="312" t="s">
        <v>123</v>
      </c>
      <c r="C33" s="312"/>
      <c r="D33" s="312"/>
      <c r="E33" s="312"/>
      <c r="F33" s="312"/>
      <c r="G33" s="312"/>
      <c r="H33" s="312"/>
      <c r="I33" s="312"/>
      <c r="J33" s="312"/>
      <c r="K33" s="312"/>
    </row>
    <row r="34" spans="1:11" ht="18.75" customHeight="1">
      <c r="A34" s="17" t="s">
        <v>125</v>
      </c>
      <c r="B34" s="313" t="s">
        <v>524</v>
      </c>
      <c r="C34" s="313"/>
      <c r="D34" s="313"/>
      <c r="E34" s="313"/>
      <c r="F34" s="313"/>
      <c r="G34" s="313"/>
      <c r="H34" s="313"/>
      <c r="I34" s="313"/>
      <c r="J34" s="313"/>
      <c r="K34" s="313"/>
    </row>
    <row r="35" spans="1:11" ht="12" customHeight="1">
      <c r="A35" s="17"/>
      <c r="B35" s="313"/>
      <c r="C35" s="313"/>
      <c r="D35" s="313"/>
      <c r="E35" s="313"/>
      <c r="F35" s="313"/>
      <c r="G35" s="313"/>
      <c r="H35" s="313"/>
      <c r="I35" s="313"/>
      <c r="J35" s="313"/>
      <c r="K35" s="313"/>
    </row>
    <row r="36" spans="1:11" ht="18.75" customHeight="1">
      <c r="A36" s="17" t="s">
        <v>126</v>
      </c>
      <c r="B36" s="313" t="s">
        <v>129</v>
      </c>
      <c r="C36" s="313"/>
      <c r="D36" s="313"/>
      <c r="E36" s="313"/>
      <c r="F36" s="313"/>
      <c r="G36" s="313"/>
      <c r="H36" s="313"/>
      <c r="I36" s="313"/>
      <c r="J36" s="313"/>
      <c r="K36" s="313"/>
    </row>
    <row r="37" spans="1:11" ht="11.25" customHeight="1">
      <c r="A37" s="17"/>
      <c r="B37" s="313"/>
      <c r="C37" s="313"/>
      <c r="D37" s="313"/>
      <c r="E37" s="313"/>
      <c r="F37" s="313"/>
      <c r="G37" s="313"/>
      <c r="H37" s="313"/>
      <c r="I37" s="313"/>
      <c r="J37" s="313"/>
      <c r="K37" s="313"/>
    </row>
    <row r="38" spans="1:11" ht="16.5" customHeight="1">
      <c r="A38" s="17" t="s">
        <v>130</v>
      </c>
      <c r="B38" s="312" t="s">
        <v>131</v>
      </c>
      <c r="C38" s="312"/>
      <c r="D38" s="312"/>
      <c r="E38" s="312"/>
      <c r="F38" s="312"/>
      <c r="G38" s="312"/>
      <c r="H38" s="312"/>
      <c r="I38" s="312"/>
      <c r="J38" s="312"/>
      <c r="K38" s="312"/>
    </row>
    <row r="39" spans="1:11">
      <c r="A39" s="17" t="s">
        <v>133</v>
      </c>
      <c r="B39" s="318" t="s">
        <v>132</v>
      </c>
      <c r="C39" s="318"/>
      <c r="D39" s="318"/>
      <c r="E39" s="318"/>
      <c r="F39" s="318"/>
      <c r="G39" s="318"/>
      <c r="H39" s="318"/>
      <c r="I39" s="318"/>
      <c r="J39" s="318"/>
      <c r="K39" s="318"/>
    </row>
    <row r="40" spans="1:11" ht="13.5" customHeight="1">
      <c r="A40" s="15"/>
      <c r="B40" s="17"/>
      <c r="C40" s="26"/>
      <c r="D40" s="26"/>
      <c r="E40" s="26"/>
      <c r="F40" s="26"/>
      <c r="G40" s="26"/>
      <c r="H40" s="26"/>
      <c r="I40" s="26"/>
      <c r="J40" s="26"/>
    </row>
    <row r="41" spans="1:11">
      <c r="A41" s="314" t="s">
        <v>453</v>
      </c>
      <c r="B41" s="314"/>
      <c r="C41" s="314"/>
      <c r="D41" s="314"/>
      <c r="E41" s="314"/>
      <c r="F41" s="314"/>
      <c r="G41" s="29"/>
      <c r="H41" s="21"/>
      <c r="I41" s="21"/>
      <c r="J41" s="21"/>
    </row>
    <row r="42" spans="1:11" ht="9" customHeight="1">
      <c r="A42" s="28"/>
      <c r="B42" s="28"/>
      <c r="C42" s="22"/>
      <c r="D42" s="22"/>
      <c r="E42" s="22"/>
      <c r="F42" s="22"/>
      <c r="G42" s="22"/>
      <c r="H42" s="15"/>
      <c r="I42" s="15"/>
      <c r="J42" s="15"/>
    </row>
    <row r="43" spans="1:11" ht="14.25" customHeight="1">
      <c r="A43" s="310" t="s">
        <v>5</v>
      </c>
      <c r="B43" s="310"/>
      <c r="C43" s="28"/>
      <c r="D43" s="311" t="str">
        <f>VLOOKUP(解約情報入力!$B$16,基本情報入力!$A$23:$J$35,8,FALSE)&amp;""</f>
        <v/>
      </c>
      <c r="E43" s="311"/>
      <c r="F43" s="311"/>
      <c r="G43" s="311"/>
      <c r="H43" s="15"/>
      <c r="I43" s="15"/>
      <c r="J43" s="15"/>
    </row>
    <row r="44" spans="1:11" ht="14.25" customHeight="1">
      <c r="A44" s="28"/>
      <c r="B44" s="28"/>
      <c r="C44" s="28"/>
      <c r="D44" s="311" t="str">
        <f>VLOOKUP(解約情報入力!$B$16,基本情報入力!$A$23:$J$35,9,FALSE)&amp;""</f>
        <v/>
      </c>
      <c r="E44" s="311"/>
      <c r="F44" s="311"/>
      <c r="G44" s="311"/>
      <c r="H44" s="15"/>
      <c r="I44" s="15"/>
      <c r="J44" s="15"/>
    </row>
    <row r="45" spans="1:11" ht="14.25" customHeight="1">
      <c r="A45" s="310" t="s">
        <v>4</v>
      </c>
      <c r="B45" s="310"/>
      <c r="C45" s="28"/>
      <c r="D45" s="28"/>
      <c r="E45" s="22"/>
      <c r="F45" s="22"/>
      <c r="G45" s="22"/>
      <c r="H45" s="15"/>
      <c r="I45" s="15"/>
      <c r="J45" s="15"/>
    </row>
    <row r="46" spans="1:11" ht="14.25" customHeight="1">
      <c r="A46" s="310"/>
      <c r="B46" s="310"/>
      <c r="C46" s="28"/>
      <c r="D46" s="30"/>
      <c r="E46" s="30"/>
      <c r="F46" s="31"/>
      <c r="G46" s="31"/>
      <c r="H46" s="15"/>
      <c r="I46" s="15"/>
      <c r="J46" s="15"/>
    </row>
    <row r="47" spans="1:11">
      <c r="A47" s="15"/>
      <c r="D47" s="309" t="str">
        <f>VLOOKUP(解約情報入力!$B$16,基本情報入力!$A$23:$J$35,3,FALSE)&amp;"　様"</f>
        <v>　様</v>
      </c>
      <c r="E47" s="309"/>
      <c r="F47" s="309"/>
      <c r="G47" s="309"/>
      <c r="H47" s="15"/>
      <c r="I47" s="15"/>
      <c r="J47" s="15"/>
    </row>
    <row r="48" spans="1:11">
      <c r="A48" s="15"/>
      <c r="E48" s="15"/>
      <c r="F48" s="15"/>
      <c r="G48" s="15"/>
      <c r="H48" s="15"/>
      <c r="I48" s="15"/>
      <c r="J48" s="15"/>
    </row>
    <row r="49" spans="1:10">
      <c r="A49" s="15"/>
      <c r="E49" s="15"/>
      <c r="F49" s="15"/>
      <c r="G49" s="15"/>
      <c r="H49" s="15"/>
      <c r="I49" s="15"/>
      <c r="J49" s="15"/>
    </row>
  </sheetData>
  <sheetProtection sheet="1" objects="1" scenarios="1"/>
  <mergeCells count="30">
    <mergeCell ref="A12:B13"/>
    <mergeCell ref="A14:B15"/>
    <mergeCell ref="D2:I2"/>
    <mergeCell ref="J1:K2"/>
    <mergeCell ref="A43:B43"/>
    <mergeCell ref="B39:K39"/>
    <mergeCell ref="A10:B10"/>
    <mergeCell ref="A11:B11"/>
    <mergeCell ref="A20:D20"/>
    <mergeCell ref="A17:F17"/>
    <mergeCell ref="A18:J18"/>
    <mergeCell ref="A4:D4"/>
    <mergeCell ref="A5:D5"/>
    <mergeCell ref="H17:K17"/>
    <mergeCell ref="D12:K13"/>
    <mergeCell ref="D14:K16"/>
    <mergeCell ref="D47:G47"/>
    <mergeCell ref="A45:B46"/>
    <mergeCell ref="D43:G43"/>
    <mergeCell ref="D44:G44"/>
    <mergeCell ref="B21:K21"/>
    <mergeCell ref="B36:K37"/>
    <mergeCell ref="B38:K38"/>
    <mergeCell ref="B22:K24"/>
    <mergeCell ref="B27:K31"/>
    <mergeCell ref="B32:K32"/>
    <mergeCell ref="B33:K33"/>
    <mergeCell ref="B34:K35"/>
    <mergeCell ref="B25:K26"/>
    <mergeCell ref="A41:F41"/>
  </mergeCells>
  <phoneticPr fontId="2"/>
  <printOptions horizontalCentered="1"/>
  <pageMargins left="0.51181102362204722" right="0.51181102362204722" top="0.55118110236220474" bottom="0.55118110236220474"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3FB3E7A-DAA0-462D-B23A-3B072FA2EF1C}">
          <x14:formula1>
            <xm:f>基本情報入力!$A$24:$A$35</xm:f>
          </x14:formula1>
          <xm:sqref>M2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CF21B-8F50-427E-8A65-14A3A54B04B2}">
  <sheetPr>
    <tabColor theme="4" tint="0.79998168889431442"/>
  </sheetPr>
  <dimension ref="B1:F26"/>
  <sheetViews>
    <sheetView view="pageBreakPreview" zoomScale="85" zoomScaleNormal="100" zoomScaleSheetLayoutView="85" zoomScalePageLayoutView="55" workbookViewId="0"/>
  </sheetViews>
  <sheetFormatPr defaultRowHeight="18.75"/>
  <cols>
    <col min="2" max="2" width="9.125" customWidth="1"/>
    <col min="3" max="3" width="14.625" customWidth="1"/>
    <col min="4" max="4" width="61.375" customWidth="1"/>
    <col min="5" max="5" width="8.625" customWidth="1"/>
  </cols>
  <sheetData>
    <row r="1" spans="2:6" ht="30">
      <c r="B1" s="326" t="s">
        <v>402</v>
      </c>
      <c r="C1" s="326"/>
      <c r="D1" s="326"/>
      <c r="E1" s="326"/>
      <c r="F1" s="161" t="str">
        <f>IFERROR(VLOOKUP($B$1,送付状・返送書類リスト!$B$18:$C$27,2,FALSE),"")</f>
        <v>⑵</v>
      </c>
    </row>
    <row r="3" spans="2:6" ht="19.5">
      <c r="B3" s="328" t="s">
        <v>434</v>
      </c>
      <c r="C3" s="328"/>
      <c r="D3" s="328"/>
      <c r="E3" s="328"/>
    </row>
    <row r="4" spans="2:6">
      <c r="B4" s="329"/>
      <c r="C4" s="329"/>
      <c r="D4" s="329"/>
      <c r="E4" s="329"/>
    </row>
    <row r="5" spans="2:6" ht="25.5">
      <c r="B5" s="327" t="s">
        <v>465</v>
      </c>
      <c r="C5" s="327"/>
      <c r="D5" s="154"/>
    </row>
    <row r="6" spans="2:6">
      <c r="B6" s="333" t="s">
        <v>425</v>
      </c>
      <c r="C6" s="333"/>
      <c r="D6" s="333"/>
      <c r="E6" s="333"/>
    </row>
    <row r="7" spans="2:6" ht="39" customHeight="1">
      <c r="B7" s="332" t="s">
        <v>433</v>
      </c>
      <c r="C7" s="332"/>
      <c r="D7" s="332"/>
      <c r="E7" s="332"/>
    </row>
    <row r="8" spans="2:6">
      <c r="B8" s="330" t="s">
        <v>386</v>
      </c>
      <c r="C8" s="331"/>
      <c r="D8" s="330"/>
      <c r="E8" s="331"/>
    </row>
    <row r="9" spans="2:6" ht="54.75" customHeight="1">
      <c r="B9" s="334" t="s">
        <v>435</v>
      </c>
      <c r="C9" s="335"/>
      <c r="D9" s="336" t="s">
        <v>493</v>
      </c>
      <c r="E9" s="337"/>
    </row>
    <row r="10" spans="2:6" ht="36.75" customHeight="1">
      <c r="B10" s="338" t="s">
        <v>426</v>
      </c>
      <c r="C10" s="339"/>
      <c r="D10" s="340" t="s">
        <v>431</v>
      </c>
      <c r="E10" s="341"/>
    </row>
    <row r="11" spans="2:6" ht="36.75" customHeight="1">
      <c r="B11" s="342" t="s">
        <v>429</v>
      </c>
      <c r="C11" s="343"/>
      <c r="D11" s="344" t="s">
        <v>432</v>
      </c>
      <c r="E11" s="345"/>
    </row>
    <row r="12" spans="2:6" ht="36.75" customHeight="1">
      <c r="B12" s="342" t="s">
        <v>430</v>
      </c>
      <c r="C12" s="343"/>
      <c r="D12" s="344" t="s">
        <v>432</v>
      </c>
      <c r="E12" s="345"/>
    </row>
    <row r="13" spans="2:6" ht="36.75" customHeight="1">
      <c r="B13" s="299" t="s">
        <v>427</v>
      </c>
      <c r="C13" s="300"/>
      <c r="D13" s="299" t="s">
        <v>428</v>
      </c>
      <c r="E13" s="300"/>
    </row>
    <row r="14" spans="2:6" ht="36.75" customHeight="1">
      <c r="B14" s="338" t="s">
        <v>389</v>
      </c>
      <c r="C14" s="339"/>
      <c r="D14" s="344" t="s">
        <v>432</v>
      </c>
      <c r="E14" s="345"/>
    </row>
    <row r="15" spans="2:6">
      <c r="D15" s="348" t="s">
        <v>415</v>
      </c>
      <c r="E15" s="348"/>
    </row>
    <row r="16" spans="2:6" ht="52.5" customHeight="1">
      <c r="D16" s="197"/>
      <c r="E16" s="197"/>
    </row>
    <row r="17" spans="2:5" ht="25.5">
      <c r="B17" s="206" t="s">
        <v>466</v>
      </c>
      <c r="C17" s="206"/>
      <c r="D17" s="155"/>
    </row>
    <row r="18" spans="2:5" ht="41.25" customHeight="1">
      <c r="B18" s="347" t="s">
        <v>436</v>
      </c>
      <c r="C18" s="347"/>
      <c r="D18" s="347"/>
      <c r="E18" s="196" t="s">
        <v>424</v>
      </c>
    </row>
    <row r="19" spans="2:5">
      <c r="B19" s="330" t="s">
        <v>386</v>
      </c>
      <c r="C19" s="331"/>
      <c r="D19" s="330"/>
      <c r="E19" s="331"/>
    </row>
    <row r="20" spans="2:5" ht="54.75" customHeight="1">
      <c r="B20" s="334" t="s">
        <v>435</v>
      </c>
      <c r="C20" s="335"/>
      <c r="D20" s="336" t="s">
        <v>493</v>
      </c>
      <c r="E20" s="337"/>
    </row>
    <row r="21" spans="2:5" ht="36.75" customHeight="1">
      <c r="B21" s="299" t="s">
        <v>387</v>
      </c>
      <c r="C21" s="300"/>
      <c r="D21" s="299"/>
      <c r="E21" s="300"/>
    </row>
    <row r="22" spans="2:5" ht="36.75" customHeight="1">
      <c r="B22" s="342" t="s">
        <v>312</v>
      </c>
      <c r="C22" s="343"/>
      <c r="D22" s="342"/>
      <c r="E22" s="343"/>
    </row>
    <row r="23" spans="2:5" ht="36.75" customHeight="1">
      <c r="B23" s="342" t="s">
        <v>391</v>
      </c>
      <c r="C23" s="343"/>
      <c r="D23" s="342"/>
      <c r="E23" s="343"/>
    </row>
    <row r="24" spans="2:5" ht="36.75" customHeight="1">
      <c r="B24" s="299" t="s">
        <v>388</v>
      </c>
      <c r="C24" s="300"/>
      <c r="D24" s="299" t="s">
        <v>390</v>
      </c>
      <c r="E24" s="300"/>
    </row>
    <row r="25" spans="2:5" ht="36.75" customHeight="1">
      <c r="B25" s="299" t="s">
        <v>389</v>
      </c>
      <c r="C25" s="300"/>
      <c r="D25" s="299"/>
      <c r="E25" s="300"/>
    </row>
    <row r="26" spans="2:5">
      <c r="D26" s="346" t="s">
        <v>415</v>
      </c>
      <c r="E26" s="346"/>
    </row>
  </sheetData>
  <sheetProtection sheet="1" objects="1" scenarios="1"/>
  <mergeCells count="37">
    <mergeCell ref="B21:C21"/>
    <mergeCell ref="D21:E21"/>
    <mergeCell ref="B13:C13"/>
    <mergeCell ref="D13:E13"/>
    <mergeCell ref="B14:C14"/>
    <mergeCell ref="D14:E14"/>
    <mergeCell ref="D15:E15"/>
    <mergeCell ref="B12:C12"/>
    <mergeCell ref="D12:E12"/>
    <mergeCell ref="D26:E26"/>
    <mergeCell ref="B22:C22"/>
    <mergeCell ref="D22:E22"/>
    <mergeCell ref="B23:C23"/>
    <mergeCell ref="D23:E23"/>
    <mergeCell ref="B24:C24"/>
    <mergeCell ref="D24:E24"/>
    <mergeCell ref="B18:D18"/>
    <mergeCell ref="B25:C25"/>
    <mergeCell ref="D25:E25"/>
    <mergeCell ref="B19:C19"/>
    <mergeCell ref="D19:E19"/>
    <mergeCell ref="B20:C20"/>
    <mergeCell ref="D20:E20"/>
    <mergeCell ref="B9:C9"/>
    <mergeCell ref="D9:E9"/>
    <mergeCell ref="B10:C10"/>
    <mergeCell ref="D10:E10"/>
    <mergeCell ref="B11:C11"/>
    <mergeCell ref="D11:E11"/>
    <mergeCell ref="B1:E1"/>
    <mergeCell ref="B5:C5"/>
    <mergeCell ref="B3:E3"/>
    <mergeCell ref="B4:E4"/>
    <mergeCell ref="B8:C8"/>
    <mergeCell ref="D8:E8"/>
    <mergeCell ref="B7:E7"/>
    <mergeCell ref="B6:E6"/>
  </mergeCells>
  <phoneticPr fontId="2"/>
  <printOptions horizontalCentered="1"/>
  <pageMargins left="0.70866141732283472" right="0.70866141732283472" top="0.74803149606299213" bottom="0.74803149606299213" header="0.31496062992125984" footer="0.31496062992125984"/>
  <pageSetup paperSize="9" scale="71"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54DB9-705E-498C-8813-7D4F5845AD2C}">
  <sheetPr>
    <tabColor theme="4" tint="0.79998168889431442"/>
  </sheetPr>
  <dimension ref="B1:F138"/>
  <sheetViews>
    <sheetView view="pageBreakPreview" topLeftCell="A8" zoomScale="85" zoomScaleNormal="100" zoomScaleSheetLayoutView="85" zoomScalePageLayoutView="90" workbookViewId="0"/>
  </sheetViews>
  <sheetFormatPr defaultRowHeight="18.75"/>
  <cols>
    <col min="1" max="1" width="8.5" customWidth="1"/>
    <col min="2" max="2" width="7.75" customWidth="1"/>
    <col min="3" max="3" width="15.625" customWidth="1"/>
    <col min="4" max="4" width="57.5" customWidth="1"/>
    <col min="5" max="5" width="8.625" customWidth="1"/>
  </cols>
  <sheetData>
    <row r="1" spans="2:6" ht="30">
      <c r="B1" s="326" t="s">
        <v>399</v>
      </c>
      <c r="C1" s="326"/>
      <c r="D1" s="326"/>
      <c r="E1" s="326"/>
      <c r="F1" s="161" t="str">
        <f>IFERROR(VLOOKUP($B$1,送付状・返送書類リスト!$B$18:$C$27,2,FALSE),"")</f>
        <v>⑶</v>
      </c>
    </row>
    <row r="2" spans="2:6" ht="9.75" customHeight="1"/>
    <row r="3" spans="2:6">
      <c r="B3" s="329" t="s">
        <v>463</v>
      </c>
      <c r="C3" s="329"/>
      <c r="D3" s="329"/>
      <c r="E3" s="329"/>
    </row>
    <row r="4" spans="2:6">
      <c r="B4" s="329"/>
      <c r="C4" s="329"/>
      <c r="D4" s="329"/>
      <c r="E4" s="329"/>
    </row>
    <row r="5" spans="2:6" ht="25.5">
      <c r="B5" s="155" t="s">
        <v>114</v>
      </c>
      <c r="C5" s="154" t="str">
        <f>解約情報入力!B30&amp;""</f>
        <v/>
      </c>
      <c r="D5" s="154"/>
    </row>
    <row r="6" spans="2:6">
      <c r="B6" s="164"/>
    </row>
    <row r="7" spans="2:6" ht="22.5" customHeight="1">
      <c r="B7" s="330" t="s">
        <v>386</v>
      </c>
      <c r="C7" s="331"/>
      <c r="D7" s="330"/>
      <c r="E7" s="331"/>
    </row>
    <row r="8" spans="2:6" ht="54.75" customHeight="1">
      <c r="B8" s="334" t="s">
        <v>435</v>
      </c>
      <c r="C8" s="335"/>
      <c r="D8" s="336" t="s">
        <v>493</v>
      </c>
      <c r="E8" s="337"/>
    </row>
    <row r="9" spans="2:6" ht="36.75" customHeight="1">
      <c r="B9" s="342" t="s">
        <v>312</v>
      </c>
      <c r="C9" s="343"/>
      <c r="D9" s="344"/>
      <c r="E9" s="345"/>
    </row>
    <row r="10" spans="2:6" ht="36.75" customHeight="1">
      <c r="B10" s="342" t="s">
        <v>391</v>
      </c>
      <c r="C10" s="343"/>
      <c r="D10" s="344"/>
      <c r="E10" s="345"/>
    </row>
    <row r="11" spans="2:6" ht="36.75" customHeight="1">
      <c r="B11" s="299" t="s">
        <v>389</v>
      </c>
      <c r="C11" s="300"/>
      <c r="D11" s="350"/>
      <c r="E11" s="351"/>
    </row>
    <row r="12" spans="2:6">
      <c r="D12" s="348"/>
      <c r="E12" s="348"/>
    </row>
    <row r="13" spans="2:6" ht="38.25" customHeight="1">
      <c r="B13" s="153"/>
      <c r="C13" s="349"/>
      <c r="D13" s="349"/>
      <c r="E13" s="349"/>
    </row>
    <row r="14" spans="2:6" ht="25.5">
      <c r="B14" s="155" t="s">
        <v>115</v>
      </c>
      <c r="C14" s="154" t="str">
        <f>解約情報入力!B31&amp;""</f>
        <v/>
      </c>
      <c r="D14" s="154"/>
    </row>
    <row r="15" spans="2:6" ht="15.75" customHeight="1"/>
    <row r="16" spans="2:6" ht="22.5" customHeight="1">
      <c r="B16" s="330" t="s">
        <v>386</v>
      </c>
      <c r="C16" s="331"/>
      <c r="D16" s="330"/>
      <c r="E16" s="331"/>
    </row>
    <row r="17" spans="2:5" ht="54.75" customHeight="1">
      <c r="B17" s="334" t="s">
        <v>435</v>
      </c>
      <c r="C17" s="335"/>
      <c r="D17" s="336" t="s">
        <v>493</v>
      </c>
      <c r="E17" s="337"/>
    </row>
    <row r="18" spans="2:5" ht="36.75" customHeight="1">
      <c r="B18" s="342" t="s">
        <v>312</v>
      </c>
      <c r="C18" s="343"/>
      <c r="D18" s="342"/>
      <c r="E18" s="343"/>
    </row>
    <row r="19" spans="2:5" ht="36.75" customHeight="1">
      <c r="B19" s="342" t="s">
        <v>391</v>
      </c>
      <c r="C19" s="343"/>
      <c r="D19" s="342"/>
      <c r="E19" s="343"/>
    </row>
    <row r="20" spans="2:5" ht="36.75" customHeight="1">
      <c r="B20" s="299" t="s">
        <v>389</v>
      </c>
      <c r="C20" s="300"/>
      <c r="D20" s="299"/>
      <c r="E20" s="300"/>
    </row>
    <row r="21" spans="2:5">
      <c r="D21" s="348"/>
      <c r="E21" s="348"/>
    </row>
    <row r="22" spans="2:5" ht="38.25" customHeight="1">
      <c r="B22" s="153"/>
      <c r="C22" s="349"/>
      <c r="D22" s="349"/>
      <c r="E22" s="349"/>
    </row>
    <row r="23" spans="2:5" ht="25.5">
      <c r="B23" s="155" t="s">
        <v>118</v>
      </c>
      <c r="C23" s="154" t="str">
        <f>解約情報入力!B32&amp;""</f>
        <v/>
      </c>
      <c r="D23" s="154"/>
    </row>
    <row r="24" spans="2:5" ht="15.75" customHeight="1"/>
    <row r="25" spans="2:5" ht="22.5" customHeight="1">
      <c r="B25" s="330" t="s">
        <v>386</v>
      </c>
      <c r="C25" s="331"/>
      <c r="D25" s="330"/>
      <c r="E25" s="331"/>
    </row>
    <row r="26" spans="2:5" ht="54.75" customHeight="1">
      <c r="B26" s="334" t="s">
        <v>435</v>
      </c>
      <c r="C26" s="335"/>
      <c r="D26" s="336" t="s">
        <v>493</v>
      </c>
      <c r="E26" s="337"/>
    </row>
    <row r="27" spans="2:5" ht="36.75" customHeight="1">
      <c r="B27" s="342" t="s">
        <v>312</v>
      </c>
      <c r="C27" s="343"/>
      <c r="D27" s="342"/>
      <c r="E27" s="343"/>
    </row>
    <row r="28" spans="2:5" ht="36.75" customHeight="1">
      <c r="B28" s="342" t="s">
        <v>391</v>
      </c>
      <c r="C28" s="343"/>
      <c r="D28" s="342"/>
      <c r="E28" s="343"/>
    </row>
    <row r="29" spans="2:5" ht="36.75" customHeight="1">
      <c r="B29" s="299" t="s">
        <v>389</v>
      </c>
      <c r="C29" s="300"/>
      <c r="D29" s="299"/>
      <c r="E29" s="300"/>
    </row>
    <row r="30" spans="2:5" ht="42" customHeight="1">
      <c r="D30" s="348"/>
      <c r="E30" s="348"/>
    </row>
    <row r="31" spans="2:5" ht="38.25" customHeight="1">
      <c r="B31" s="153"/>
      <c r="C31" s="349"/>
      <c r="D31" s="349"/>
      <c r="E31" s="349"/>
    </row>
    <row r="32" spans="2:5" ht="25.5">
      <c r="B32" s="155" t="s">
        <v>119</v>
      </c>
      <c r="C32" s="154" t="str">
        <f>解約情報入力!B33&amp;""</f>
        <v/>
      </c>
      <c r="D32" s="154"/>
    </row>
    <row r="33" spans="2:5" ht="15.75" customHeight="1"/>
    <row r="34" spans="2:5" ht="22.5" customHeight="1">
      <c r="B34" s="330" t="s">
        <v>386</v>
      </c>
      <c r="C34" s="331"/>
      <c r="D34" s="330"/>
      <c r="E34" s="331"/>
    </row>
    <row r="35" spans="2:5" ht="54.75" customHeight="1">
      <c r="B35" s="334" t="s">
        <v>435</v>
      </c>
      <c r="C35" s="335"/>
      <c r="D35" s="336" t="s">
        <v>493</v>
      </c>
      <c r="E35" s="337"/>
    </row>
    <row r="36" spans="2:5" ht="36.75" customHeight="1">
      <c r="B36" s="342" t="s">
        <v>312</v>
      </c>
      <c r="C36" s="343"/>
      <c r="D36" s="342"/>
      <c r="E36" s="343"/>
    </row>
    <row r="37" spans="2:5" ht="36.75" customHeight="1">
      <c r="B37" s="342" t="s">
        <v>391</v>
      </c>
      <c r="C37" s="343"/>
      <c r="D37" s="342"/>
      <c r="E37" s="343"/>
    </row>
    <row r="38" spans="2:5" ht="36.75" customHeight="1">
      <c r="B38" s="299" t="s">
        <v>389</v>
      </c>
      <c r="C38" s="300"/>
      <c r="D38" s="299"/>
      <c r="E38" s="300"/>
    </row>
    <row r="39" spans="2:5">
      <c r="D39" s="348"/>
      <c r="E39" s="348"/>
    </row>
    <row r="40" spans="2:5" ht="38.25" customHeight="1">
      <c r="B40" s="153"/>
      <c r="C40" s="349"/>
      <c r="D40" s="349"/>
      <c r="E40" s="349"/>
    </row>
    <row r="41" spans="2:5" ht="25.5">
      <c r="B41" s="155" t="s">
        <v>121</v>
      </c>
      <c r="C41" s="154" t="str">
        <f>解約情報入力!B34&amp;""</f>
        <v/>
      </c>
      <c r="D41" s="154"/>
    </row>
    <row r="42" spans="2:5" ht="15.75" customHeight="1"/>
    <row r="43" spans="2:5" ht="22.5" customHeight="1">
      <c r="B43" s="330" t="s">
        <v>386</v>
      </c>
      <c r="C43" s="331"/>
      <c r="D43" s="330"/>
      <c r="E43" s="331"/>
    </row>
    <row r="44" spans="2:5" ht="54.75" customHeight="1">
      <c r="B44" s="334" t="s">
        <v>435</v>
      </c>
      <c r="C44" s="335"/>
      <c r="D44" s="336" t="s">
        <v>493</v>
      </c>
      <c r="E44" s="337"/>
    </row>
    <row r="45" spans="2:5" ht="36.75" customHeight="1">
      <c r="B45" s="342" t="s">
        <v>312</v>
      </c>
      <c r="C45" s="343"/>
      <c r="D45" s="342"/>
      <c r="E45" s="343"/>
    </row>
    <row r="46" spans="2:5" ht="36.75" customHeight="1">
      <c r="B46" s="342" t="s">
        <v>391</v>
      </c>
      <c r="C46" s="343"/>
      <c r="D46" s="342"/>
      <c r="E46" s="343"/>
    </row>
    <row r="47" spans="2:5" ht="36.75" customHeight="1">
      <c r="B47" s="299" t="s">
        <v>389</v>
      </c>
      <c r="C47" s="300"/>
      <c r="D47" s="299"/>
      <c r="E47" s="300"/>
    </row>
    <row r="48" spans="2:5">
      <c r="D48" s="348"/>
      <c r="E48" s="348"/>
    </row>
    <row r="49" spans="2:5" ht="38.25" customHeight="1">
      <c r="B49" s="153"/>
      <c r="C49" s="349"/>
      <c r="D49" s="349"/>
      <c r="E49" s="349"/>
    </row>
    <row r="50" spans="2:5" ht="25.5">
      <c r="B50" s="155" t="s">
        <v>124</v>
      </c>
      <c r="C50" s="154" t="str">
        <f>解約情報入力!B35&amp;""</f>
        <v/>
      </c>
      <c r="D50" s="154"/>
    </row>
    <row r="51" spans="2:5" ht="15.75" customHeight="1"/>
    <row r="52" spans="2:5" ht="22.5" customHeight="1">
      <c r="B52" s="330" t="s">
        <v>386</v>
      </c>
      <c r="C52" s="331"/>
      <c r="D52" s="330"/>
      <c r="E52" s="331"/>
    </row>
    <row r="53" spans="2:5" ht="54.75" customHeight="1">
      <c r="B53" s="334" t="s">
        <v>435</v>
      </c>
      <c r="C53" s="335"/>
      <c r="D53" s="336" t="s">
        <v>493</v>
      </c>
      <c r="E53" s="337"/>
    </row>
    <row r="54" spans="2:5" ht="36.75" customHeight="1">
      <c r="B54" s="342" t="s">
        <v>312</v>
      </c>
      <c r="C54" s="343"/>
      <c r="D54" s="342"/>
      <c r="E54" s="343"/>
    </row>
    <row r="55" spans="2:5" ht="36.75" customHeight="1">
      <c r="B55" s="342" t="s">
        <v>391</v>
      </c>
      <c r="C55" s="343"/>
      <c r="D55" s="342"/>
      <c r="E55" s="343"/>
    </row>
    <row r="56" spans="2:5" ht="36.75" customHeight="1">
      <c r="B56" s="299" t="s">
        <v>389</v>
      </c>
      <c r="C56" s="300"/>
      <c r="D56" s="299"/>
      <c r="E56" s="300"/>
    </row>
    <row r="57" spans="2:5">
      <c r="D57" s="348"/>
      <c r="E57" s="348"/>
    </row>
    <row r="58" spans="2:5" ht="38.25" customHeight="1">
      <c r="B58" s="153"/>
      <c r="C58" s="349"/>
      <c r="D58" s="349"/>
      <c r="E58" s="349"/>
    </row>
    <row r="59" spans="2:5" ht="25.5">
      <c r="B59" s="155" t="s">
        <v>125</v>
      </c>
      <c r="C59" s="154" t="str">
        <f>解約情報入力!B36&amp;""</f>
        <v/>
      </c>
      <c r="D59" s="154"/>
    </row>
    <row r="60" spans="2:5" ht="15.75" customHeight="1"/>
    <row r="61" spans="2:5" ht="22.5" customHeight="1">
      <c r="B61" s="330" t="s">
        <v>386</v>
      </c>
      <c r="C61" s="331"/>
      <c r="D61" s="330"/>
      <c r="E61" s="331"/>
    </row>
    <row r="62" spans="2:5" ht="54.75" customHeight="1">
      <c r="B62" s="334" t="s">
        <v>435</v>
      </c>
      <c r="C62" s="335"/>
      <c r="D62" s="336" t="s">
        <v>493</v>
      </c>
      <c r="E62" s="337"/>
    </row>
    <row r="63" spans="2:5" ht="36.75" customHeight="1">
      <c r="B63" s="342" t="s">
        <v>312</v>
      </c>
      <c r="C63" s="343"/>
      <c r="D63" s="342"/>
      <c r="E63" s="343"/>
    </row>
    <row r="64" spans="2:5" ht="36.75" customHeight="1">
      <c r="B64" s="342" t="s">
        <v>391</v>
      </c>
      <c r="C64" s="343"/>
      <c r="D64" s="342"/>
      <c r="E64" s="343"/>
    </row>
    <row r="65" spans="2:5" ht="36.75" customHeight="1">
      <c r="B65" s="299" t="s">
        <v>389</v>
      </c>
      <c r="C65" s="300"/>
      <c r="D65" s="299"/>
      <c r="E65" s="300"/>
    </row>
    <row r="66" spans="2:5">
      <c r="D66" s="348"/>
      <c r="E66" s="348"/>
    </row>
    <row r="67" spans="2:5" ht="38.25" customHeight="1">
      <c r="B67" s="153"/>
      <c r="C67" s="349"/>
      <c r="D67" s="349"/>
      <c r="E67" s="349"/>
    </row>
    <row r="68" spans="2:5" ht="25.5">
      <c r="B68" s="155" t="s">
        <v>126</v>
      </c>
      <c r="C68" s="154" t="str">
        <f>解約情報入力!B37&amp;""</f>
        <v/>
      </c>
      <c r="D68" s="154"/>
    </row>
    <row r="69" spans="2:5" ht="15.75" customHeight="1"/>
    <row r="70" spans="2:5" ht="22.5" customHeight="1">
      <c r="B70" s="330" t="s">
        <v>386</v>
      </c>
      <c r="C70" s="331"/>
      <c r="D70" s="330"/>
      <c r="E70" s="331"/>
    </row>
    <row r="71" spans="2:5" ht="54.75" customHeight="1">
      <c r="B71" s="334" t="s">
        <v>435</v>
      </c>
      <c r="C71" s="335"/>
      <c r="D71" s="336" t="s">
        <v>493</v>
      </c>
      <c r="E71" s="337"/>
    </row>
    <row r="72" spans="2:5" ht="36.75" customHeight="1">
      <c r="B72" s="342" t="s">
        <v>312</v>
      </c>
      <c r="C72" s="343"/>
      <c r="D72" s="342"/>
      <c r="E72" s="343"/>
    </row>
    <row r="73" spans="2:5" ht="36.75" customHeight="1">
      <c r="B73" s="342" t="s">
        <v>391</v>
      </c>
      <c r="C73" s="343"/>
      <c r="D73" s="342"/>
      <c r="E73" s="343"/>
    </row>
    <row r="74" spans="2:5" ht="36.75" customHeight="1">
      <c r="B74" s="299" t="s">
        <v>389</v>
      </c>
      <c r="C74" s="300"/>
      <c r="D74" s="299"/>
      <c r="E74" s="300"/>
    </row>
    <row r="75" spans="2:5">
      <c r="D75" s="348"/>
      <c r="E75" s="348"/>
    </row>
    <row r="76" spans="2:5" ht="38.25" customHeight="1">
      <c r="B76" s="153"/>
      <c r="C76" s="349"/>
      <c r="D76" s="349"/>
      <c r="E76" s="349"/>
    </row>
    <row r="77" spans="2:5" ht="25.5">
      <c r="B77" s="155" t="s">
        <v>130</v>
      </c>
      <c r="C77" s="154" t="str">
        <f>解約情報入力!B38&amp;""</f>
        <v/>
      </c>
      <c r="D77" s="154"/>
    </row>
    <row r="78" spans="2:5" ht="15.75" customHeight="1"/>
    <row r="79" spans="2:5" ht="22.5" customHeight="1">
      <c r="B79" s="330" t="s">
        <v>386</v>
      </c>
      <c r="C79" s="331"/>
      <c r="D79" s="330"/>
      <c r="E79" s="331"/>
    </row>
    <row r="80" spans="2:5" ht="54.75" customHeight="1">
      <c r="B80" s="334" t="s">
        <v>435</v>
      </c>
      <c r="C80" s="335"/>
      <c r="D80" s="336" t="s">
        <v>493</v>
      </c>
      <c r="E80" s="337"/>
    </row>
    <row r="81" spans="2:5" ht="36.75" customHeight="1">
      <c r="B81" s="342" t="s">
        <v>312</v>
      </c>
      <c r="C81" s="343"/>
      <c r="D81" s="342"/>
      <c r="E81" s="343"/>
    </row>
    <row r="82" spans="2:5" ht="36.75" customHeight="1">
      <c r="B82" s="342" t="s">
        <v>391</v>
      </c>
      <c r="C82" s="343"/>
      <c r="D82" s="342"/>
      <c r="E82" s="343"/>
    </row>
    <row r="83" spans="2:5" ht="36.75" customHeight="1">
      <c r="B83" s="299" t="s">
        <v>389</v>
      </c>
      <c r="C83" s="300"/>
      <c r="D83" s="299"/>
      <c r="E83" s="300"/>
    </row>
    <row r="84" spans="2:5">
      <c r="D84" s="348"/>
      <c r="E84" s="348"/>
    </row>
    <row r="85" spans="2:5" ht="38.25" customHeight="1">
      <c r="B85" s="153"/>
      <c r="C85" s="349"/>
      <c r="D85" s="349"/>
      <c r="E85" s="349"/>
    </row>
    <row r="86" spans="2:5" ht="25.5">
      <c r="B86" s="155" t="s">
        <v>133</v>
      </c>
      <c r="C86" s="154" t="str">
        <f>解約情報入力!B39&amp;""</f>
        <v/>
      </c>
      <c r="D86" s="154"/>
    </row>
    <row r="87" spans="2:5" ht="15.75" customHeight="1"/>
    <row r="88" spans="2:5" ht="22.5" customHeight="1">
      <c r="B88" s="330" t="s">
        <v>386</v>
      </c>
      <c r="C88" s="331"/>
      <c r="D88" s="330"/>
      <c r="E88" s="331"/>
    </row>
    <row r="89" spans="2:5" ht="54.75" customHeight="1">
      <c r="B89" s="334" t="s">
        <v>435</v>
      </c>
      <c r="C89" s="335"/>
      <c r="D89" s="336" t="s">
        <v>493</v>
      </c>
      <c r="E89" s="337"/>
    </row>
    <row r="90" spans="2:5" ht="36.75" customHeight="1">
      <c r="B90" s="342" t="s">
        <v>312</v>
      </c>
      <c r="C90" s="343"/>
      <c r="D90" s="342"/>
      <c r="E90" s="343"/>
    </row>
    <row r="91" spans="2:5" ht="36.75" customHeight="1">
      <c r="B91" s="342" t="s">
        <v>391</v>
      </c>
      <c r="C91" s="343"/>
      <c r="D91" s="342"/>
      <c r="E91" s="343"/>
    </row>
    <row r="92" spans="2:5" ht="36.75" customHeight="1">
      <c r="B92" s="299" t="s">
        <v>389</v>
      </c>
      <c r="C92" s="300"/>
      <c r="D92" s="299"/>
      <c r="E92" s="300"/>
    </row>
    <row r="93" spans="2:5">
      <c r="D93" s="348"/>
      <c r="E93" s="348"/>
    </row>
    <row r="94" spans="2:5" ht="38.25" customHeight="1">
      <c r="B94" s="153"/>
      <c r="C94" s="349"/>
      <c r="D94" s="349"/>
      <c r="E94" s="349"/>
    </row>
    <row r="95" spans="2:5" ht="25.5">
      <c r="B95" s="155" t="s">
        <v>315</v>
      </c>
      <c r="C95" s="154" t="str">
        <f>解約情報入力!B40&amp;""</f>
        <v/>
      </c>
      <c r="D95" s="154"/>
    </row>
    <row r="96" spans="2:5" ht="15.75" customHeight="1"/>
    <row r="97" spans="2:5" ht="22.5" customHeight="1">
      <c r="B97" s="330" t="s">
        <v>386</v>
      </c>
      <c r="C97" s="331"/>
      <c r="D97" s="330"/>
      <c r="E97" s="331"/>
    </row>
    <row r="98" spans="2:5" ht="54.75" customHeight="1">
      <c r="B98" s="334" t="s">
        <v>435</v>
      </c>
      <c r="C98" s="335"/>
      <c r="D98" s="336" t="s">
        <v>493</v>
      </c>
      <c r="E98" s="337"/>
    </row>
    <row r="99" spans="2:5" ht="36.75" customHeight="1">
      <c r="B99" s="342" t="s">
        <v>312</v>
      </c>
      <c r="C99" s="343"/>
      <c r="D99" s="342"/>
      <c r="E99" s="343"/>
    </row>
    <row r="100" spans="2:5" ht="36.75" customHeight="1">
      <c r="B100" s="342" t="s">
        <v>391</v>
      </c>
      <c r="C100" s="343"/>
      <c r="D100" s="342"/>
      <c r="E100" s="343"/>
    </row>
    <row r="101" spans="2:5" ht="36.75" customHeight="1">
      <c r="B101" s="299" t="s">
        <v>389</v>
      </c>
      <c r="C101" s="300"/>
      <c r="D101" s="299"/>
      <c r="E101" s="300"/>
    </row>
    <row r="102" spans="2:5">
      <c r="D102" s="348"/>
      <c r="E102" s="348"/>
    </row>
    <row r="103" spans="2:5" ht="38.25" customHeight="1">
      <c r="B103" s="153"/>
      <c r="C103" s="349"/>
      <c r="D103" s="349"/>
      <c r="E103" s="349"/>
    </row>
    <row r="104" spans="2:5" ht="25.5">
      <c r="B104" s="155" t="s">
        <v>316</v>
      </c>
      <c r="C104" s="154" t="str">
        <f>解約情報入力!B41&amp;""</f>
        <v/>
      </c>
      <c r="D104" s="154"/>
    </row>
    <row r="105" spans="2:5" ht="15.75" customHeight="1"/>
    <row r="106" spans="2:5" ht="22.5" customHeight="1">
      <c r="B106" s="330" t="s">
        <v>386</v>
      </c>
      <c r="C106" s="331"/>
      <c r="D106" s="330"/>
      <c r="E106" s="331"/>
    </row>
    <row r="107" spans="2:5" ht="54.75" customHeight="1">
      <c r="B107" s="334" t="s">
        <v>435</v>
      </c>
      <c r="C107" s="335"/>
      <c r="D107" s="336" t="s">
        <v>493</v>
      </c>
      <c r="E107" s="337"/>
    </row>
    <row r="108" spans="2:5" ht="36.75" customHeight="1">
      <c r="B108" s="342" t="s">
        <v>312</v>
      </c>
      <c r="C108" s="343"/>
      <c r="D108" s="342"/>
      <c r="E108" s="343"/>
    </row>
    <row r="109" spans="2:5" ht="36.75" customHeight="1">
      <c r="B109" s="342" t="s">
        <v>391</v>
      </c>
      <c r="C109" s="343"/>
      <c r="D109" s="342"/>
      <c r="E109" s="343"/>
    </row>
    <row r="110" spans="2:5" ht="36.75" customHeight="1">
      <c r="B110" s="299" t="s">
        <v>389</v>
      </c>
      <c r="C110" s="300"/>
      <c r="D110" s="299"/>
      <c r="E110" s="300"/>
    </row>
    <row r="111" spans="2:5">
      <c r="D111" s="348"/>
      <c r="E111" s="348"/>
    </row>
    <row r="112" spans="2:5" ht="38.25" customHeight="1">
      <c r="B112" s="153"/>
      <c r="C112" s="349"/>
      <c r="D112" s="349"/>
      <c r="E112" s="349"/>
    </row>
    <row r="113" spans="2:5" ht="25.5">
      <c r="B113" s="155" t="s">
        <v>317</v>
      </c>
      <c r="C113" s="154" t="str">
        <f>解約情報入力!B42&amp;""</f>
        <v/>
      </c>
      <c r="D113" s="154"/>
    </row>
    <row r="114" spans="2:5" ht="15.75" customHeight="1"/>
    <row r="115" spans="2:5" ht="22.5" customHeight="1">
      <c r="B115" s="330" t="s">
        <v>386</v>
      </c>
      <c r="C115" s="331"/>
      <c r="D115" s="330"/>
      <c r="E115" s="331"/>
    </row>
    <row r="116" spans="2:5" ht="54.75" customHeight="1">
      <c r="B116" s="334" t="s">
        <v>435</v>
      </c>
      <c r="C116" s="335"/>
      <c r="D116" s="336" t="s">
        <v>493</v>
      </c>
      <c r="E116" s="337"/>
    </row>
    <row r="117" spans="2:5" ht="36.75" customHeight="1">
      <c r="B117" s="342" t="s">
        <v>312</v>
      </c>
      <c r="C117" s="343"/>
      <c r="D117" s="342"/>
      <c r="E117" s="343"/>
    </row>
    <row r="118" spans="2:5" ht="36.75" customHeight="1">
      <c r="B118" s="342" t="s">
        <v>391</v>
      </c>
      <c r="C118" s="343"/>
      <c r="D118" s="342"/>
      <c r="E118" s="343"/>
    </row>
    <row r="119" spans="2:5" ht="36.75" customHeight="1">
      <c r="B119" s="299" t="s">
        <v>389</v>
      </c>
      <c r="C119" s="300"/>
      <c r="D119" s="299"/>
      <c r="E119" s="300"/>
    </row>
    <row r="120" spans="2:5">
      <c r="D120" s="348"/>
      <c r="E120" s="348"/>
    </row>
    <row r="121" spans="2:5" ht="38.25" customHeight="1">
      <c r="B121" s="153"/>
      <c r="C121" s="349"/>
      <c r="D121" s="349"/>
      <c r="E121" s="349"/>
    </row>
    <row r="122" spans="2:5" ht="25.5">
      <c r="B122" s="155" t="s">
        <v>318</v>
      </c>
      <c r="C122" s="154" t="str">
        <f>解約情報入力!B43&amp;""</f>
        <v/>
      </c>
      <c r="D122" s="154"/>
    </row>
    <row r="123" spans="2:5" ht="15.75" customHeight="1"/>
    <row r="124" spans="2:5" ht="22.5" customHeight="1">
      <c r="B124" s="330" t="s">
        <v>386</v>
      </c>
      <c r="C124" s="331"/>
      <c r="D124" s="330"/>
      <c r="E124" s="331"/>
    </row>
    <row r="125" spans="2:5" ht="54.75" customHeight="1">
      <c r="B125" s="334" t="s">
        <v>435</v>
      </c>
      <c r="C125" s="335"/>
      <c r="D125" s="336" t="s">
        <v>493</v>
      </c>
      <c r="E125" s="337"/>
    </row>
    <row r="126" spans="2:5" ht="36.75" customHeight="1">
      <c r="B126" s="342" t="s">
        <v>312</v>
      </c>
      <c r="C126" s="343"/>
      <c r="D126" s="342"/>
      <c r="E126" s="343"/>
    </row>
    <row r="127" spans="2:5" ht="36.75" customHeight="1">
      <c r="B127" s="342" t="s">
        <v>391</v>
      </c>
      <c r="C127" s="343"/>
      <c r="D127" s="342"/>
      <c r="E127" s="343"/>
    </row>
    <row r="128" spans="2:5" ht="36.75" customHeight="1">
      <c r="B128" s="299" t="s">
        <v>389</v>
      </c>
      <c r="C128" s="300"/>
      <c r="D128" s="299"/>
      <c r="E128" s="300"/>
    </row>
    <row r="129" spans="2:5">
      <c r="D129" s="348"/>
      <c r="E129" s="348"/>
    </row>
    <row r="130" spans="2:5" ht="38.25" customHeight="1">
      <c r="B130" s="153"/>
      <c r="C130" s="349"/>
      <c r="D130" s="349"/>
      <c r="E130" s="349"/>
    </row>
    <row r="131" spans="2:5" ht="25.5">
      <c r="B131" s="155" t="s">
        <v>319</v>
      </c>
      <c r="C131" s="154" t="str">
        <f>解約情報入力!B44&amp;""</f>
        <v/>
      </c>
      <c r="D131" s="154"/>
    </row>
    <row r="132" spans="2:5" ht="15.75" customHeight="1"/>
    <row r="133" spans="2:5" ht="22.5" customHeight="1">
      <c r="B133" s="330" t="s">
        <v>386</v>
      </c>
      <c r="C133" s="331"/>
      <c r="D133" s="330"/>
      <c r="E133" s="331"/>
    </row>
    <row r="134" spans="2:5" ht="54.75" customHeight="1">
      <c r="B134" s="334" t="s">
        <v>435</v>
      </c>
      <c r="C134" s="335"/>
      <c r="D134" s="336" t="s">
        <v>493</v>
      </c>
      <c r="E134" s="337"/>
    </row>
    <row r="135" spans="2:5" ht="36.75" customHeight="1">
      <c r="B135" s="342" t="s">
        <v>312</v>
      </c>
      <c r="C135" s="343"/>
      <c r="D135" s="342"/>
      <c r="E135" s="343"/>
    </row>
    <row r="136" spans="2:5" ht="36.75" customHeight="1">
      <c r="B136" s="342" t="s">
        <v>391</v>
      </c>
      <c r="C136" s="343"/>
      <c r="D136" s="342"/>
      <c r="E136" s="343"/>
    </row>
    <row r="137" spans="2:5" ht="36.75" customHeight="1">
      <c r="B137" s="299" t="s">
        <v>389</v>
      </c>
      <c r="C137" s="300"/>
      <c r="D137" s="299"/>
      <c r="E137" s="300"/>
    </row>
    <row r="138" spans="2:5">
      <c r="D138" s="348"/>
      <c r="E138" s="348"/>
    </row>
  </sheetData>
  <sheetProtection sheet="1" objects="1" scenarios="1"/>
  <mergeCells count="182">
    <mergeCell ref="B3:E3"/>
    <mergeCell ref="D18:E18"/>
    <mergeCell ref="D19:E19"/>
    <mergeCell ref="D20:E20"/>
    <mergeCell ref="D25:E25"/>
    <mergeCell ref="D26:E26"/>
    <mergeCell ref="B38:C38"/>
    <mergeCell ref="B25:C25"/>
    <mergeCell ref="B34:C34"/>
    <mergeCell ref="B18:C18"/>
    <mergeCell ref="B19:C19"/>
    <mergeCell ref="B20:C20"/>
    <mergeCell ref="B27:C27"/>
    <mergeCell ref="B35:C35"/>
    <mergeCell ref="B36:C36"/>
    <mergeCell ref="B37:C37"/>
    <mergeCell ref="B26:C26"/>
    <mergeCell ref="B28:C28"/>
    <mergeCell ref="B29:C29"/>
    <mergeCell ref="C31:E31"/>
    <mergeCell ref="D36:E36"/>
    <mergeCell ref="D27:E27"/>
    <mergeCell ref="D30:E30"/>
    <mergeCell ref="D9:E9"/>
    <mergeCell ref="D44:E44"/>
    <mergeCell ref="D12:E12"/>
    <mergeCell ref="B55:C55"/>
    <mergeCell ref="B56:C56"/>
    <mergeCell ref="B47:C47"/>
    <mergeCell ref="B52:C52"/>
    <mergeCell ref="B54:C54"/>
    <mergeCell ref="C49:E49"/>
    <mergeCell ref="D47:E47"/>
    <mergeCell ref="D52:E52"/>
    <mergeCell ref="D53:E53"/>
    <mergeCell ref="D45:E45"/>
    <mergeCell ref="B53:C53"/>
    <mergeCell ref="D48:E48"/>
    <mergeCell ref="B43:C43"/>
    <mergeCell ref="B44:C44"/>
    <mergeCell ref="B45:C45"/>
    <mergeCell ref="B46:C46"/>
    <mergeCell ref="D10:E10"/>
    <mergeCell ref="B7:C7"/>
    <mergeCell ref="B8:C8"/>
    <mergeCell ref="B9:C9"/>
    <mergeCell ref="B10:C10"/>
    <mergeCell ref="B11:C11"/>
    <mergeCell ref="B16:C16"/>
    <mergeCell ref="B17:C17"/>
    <mergeCell ref="C13:E13"/>
    <mergeCell ref="D11:E11"/>
    <mergeCell ref="D16:E16"/>
    <mergeCell ref="D84:E84"/>
    <mergeCell ref="D83:E83"/>
    <mergeCell ref="B83:C83"/>
    <mergeCell ref="B1:E1"/>
    <mergeCell ref="C40:E40"/>
    <mergeCell ref="C22:E22"/>
    <mergeCell ref="B4:E4"/>
    <mergeCell ref="D21:E21"/>
    <mergeCell ref="D39:E39"/>
    <mergeCell ref="D29:E29"/>
    <mergeCell ref="D34:E34"/>
    <mergeCell ref="D35:E35"/>
    <mergeCell ref="D7:E7"/>
    <mergeCell ref="D8:E8"/>
    <mergeCell ref="D37:E37"/>
    <mergeCell ref="D28:E28"/>
    <mergeCell ref="D38:E38"/>
    <mergeCell ref="D17:E17"/>
    <mergeCell ref="D57:E57"/>
    <mergeCell ref="D55:E55"/>
    <mergeCell ref="D56:E56"/>
    <mergeCell ref="D54:E54"/>
    <mergeCell ref="D46:E46"/>
    <mergeCell ref="D43:E43"/>
    <mergeCell ref="D79:E79"/>
    <mergeCell ref="B79:C79"/>
    <mergeCell ref="C76:E76"/>
    <mergeCell ref="D75:E75"/>
    <mergeCell ref="D74:E74"/>
    <mergeCell ref="B74:C74"/>
    <mergeCell ref="D82:E82"/>
    <mergeCell ref="B82:C82"/>
    <mergeCell ref="D81:E81"/>
    <mergeCell ref="B81:C81"/>
    <mergeCell ref="D80:E80"/>
    <mergeCell ref="B80:C80"/>
    <mergeCell ref="D61:E61"/>
    <mergeCell ref="B61:C61"/>
    <mergeCell ref="C58:E58"/>
    <mergeCell ref="C85:E85"/>
    <mergeCell ref="B88:C88"/>
    <mergeCell ref="D88:E88"/>
    <mergeCell ref="D64:E64"/>
    <mergeCell ref="B64:C64"/>
    <mergeCell ref="D63:E63"/>
    <mergeCell ref="B63:C63"/>
    <mergeCell ref="D62:E62"/>
    <mergeCell ref="B62:C62"/>
    <mergeCell ref="D66:E66"/>
    <mergeCell ref="D65:E65"/>
    <mergeCell ref="B65:C65"/>
    <mergeCell ref="D71:E71"/>
    <mergeCell ref="B71:C71"/>
    <mergeCell ref="D70:E70"/>
    <mergeCell ref="B70:C70"/>
    <mergeCell ref="C67:E67"/>
    <mergeCell ref="D73:E73"/>
    <mergeCell ref="B73:C73"/>
    <mergeCell ref="D72:E72"/>
    <mergeCell ref="B72:C72"/>
    <mergeCell ref="C94:E94"/>
    <mergeCell ref="B97:C97"/>
    <mergeCell ref="D97:E97"/>
    <mergeCell ref="B98:C98"/>
    <mergeCell ref="D98:E98"/>
    <mergeCell ref="B92:C92"/>
    <mergeCell ref="D92:E92"/>
    <mergeCell ref="D93:E93"/>
    <mergeCell ref="B89:C89"/>
    <mergeCell ref="D89:E89"/>
    <mergeCell ref="B90:C90"/>
    <mergeCell ref="D90:E90"/>
    <mergeCell ref="B91:C91"/>
    <mergeCell ref="D91:E91"/>
    <mergeCell ref="B101:C101"/>
    <mergeCell ref="D101:E101"/>
    <mergeCell ref="D102:E102"/>
    <mergeCell ref="C103:E103"/>
    <mergeCell ref="B106:C106"/>
    <mergeCell ref="D106:E106"/>
    <mergeCell ref="B99:C99"/>
    <mergeCell ref="D99:E99"/>
    <mergeCell ref="B100:C100"/>
    <mergeCell ref="D100:E100"/>
    <mergeCell ref="C112:E112"/>
    <mergeCell ref="B115:C115"/>
    <mergeCell ref="D115:E115"/>
    <mergeCell ref="B116:C116"/>
    <mergeCell ref="D116:E116"/>
    <mergeCell ref="B110:C110"/>
    <mergeCell ref="D110:E110"/>
    <mergeCell ref="D111:E111"/>
    <mergeCell ref="B107:C107"/>
    <mergeCell ref="D107:E107"/>
    <mergeCell ref="B108:C108"/>
    <mergeCell ref="D108:E108"/>
    <mergeCell ref="B109:C109"/>
    <mergeCell ref="D109:E109"/>
    <mergeCell ref="B119:C119"/>
    <mergeCell ref="D119:E119"/>
    <mergeCell ref="D120:E120"/>
    <mergeCell ref="C121:E121"/>
    <mergeCell ref="B124:C124"/>
    <mergeCell ref="D124:E124"/>
    <mergeCell ref="B117:C117"/>
    <mergeCell ref="D117:E117"/>
    <mergeCell ref="B118:C118"/>
    <mergeCell ref="D118:E118"/>
    <mergeCell ref="B128:C128"/>
    <mergeCell ref="D128:E128"/>
    <mergeCell ref="D129:E129"/>
    <mergeCell ref="B125:C125"/>
    <mergeCell ref="D125:E125"/>
    <mergeCell ref="B126:C126"/>
    <mergeCell ref="D126:E126"/>
    <mergeCell ref="B127:C127"/>
    <mergeCell ref="D127:E127"/>
    <mergeCell ref="B137:C137"/>
    <mergeCell ref="D137:E137"/>
    <mergeCell ref="D138:E138"/>
    <mergeCell ref="B135:C135"/>
    <mergeCell ref="D135:E135"/>
    <mergeCell ref="B136:C136"/>
    <mergeCell ref="D136:E136"/>
    <mergeCell ref="C130:E130"/>
    <mergeCell ref="B133:C133"/>
    <mergeCell ref="D133:E133"/>
    <mergeCell ref="B134:C134"/>
    <mergeCell ref="D134:E134"/>
  </mergeCells>
  <phoneticPr fontId="2"/>
  <printOptions horizontalCentered="1"/>
  <pageMargins left="0.70866141732283472" right="0.70866141732283472" top="0.74803149606299213" bottom="0.74803149606299213" header="0.31496062992125984" footer="0.31496062992125984"/>
  <pageSetup paperSize="9" scale="71" orientation="portrait" r:id="rId1"/>
  <rowBreaks count="4" manualBreakCount="4">
    <brk id="30" max="5" man="1"/>
    <brk id="57" max="5" man="1"/>
    <brk id="84" max="5" man="1"/>
    <brk id="111"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0172-0571-4FEF-A700-2BF6EC284DFB}">
  <sheetPr>
    <tabColor theme="4" tint="0.79998168889431442"/>
  </sheetPr>
  <dimension ref="B1:F25"/>
  <sheetViews>
    <sheetView view="pageBreakPreview" topLeftCell="A3" zoomScale="85" zoomScaleNormal="100" zoomScaleSheetLayoutView="85" zoomScalePageLayoutView="55" workbookViewId="0">
      <selection activeCell="D16" sqref="D16"/>
    </sheetView>
  </sheetViews>
  <sheetFormatPr defaultRowHeight="18.75"/>
  <cols>
    <col min="2" max="2" width="9.125" customWidth="1"/>
    <col min="3" max="3" width="14.625" customWidth="1"/>
    <col min="4" max="4" width="61.375" customWidth="1"/>
    <col min="5" max="5" width="8.625" customWidth="1"/>
  </cols>
  <sheetData>
    <row r="1" spans="2:6" ht="30">
      <c r="B1" s="326" t="s">
        <v>402</v>
      </c>
      <c r="C1" s="326"/>
      <c r="D1" s="326"/>
      <c r="E1" s="326"/>
      <c r="F1" s="161" t="str">
        <f>IFERROR(VLOOKUP($B$1,送付状・返送書類リスト!$B$18:$C$27,2,FALSE),"")</f>
        <v>⑵</v>
      </c>
    </row>
    <row r="3" spans="2:6" ht="19.5">
      <c r="B3" s="328" t="s">
        <v>434</v>
      </c>
      <c r="C3" s="328"/>
      <c r="D3" s="328"/>
      <c r="E3" s="328"/>
    </row>
    <row r="4" spans="2:6">
      <c r="B4" s="329"/>
      <c r="C4" s="329"/>
      <c r="D4" s="329"/>
      <c r="E4" s="329"/>
    </row>
    <row r="5" spans="2:6" ht="25.5">
      <c r="B5" s="154" t="s">
        <v>541</v>
      </c>
      <c r="C5" s="154"/>
      <c r="D5" s="154"/>
    </row>
    <row r="6" spans="2:6">
      <c r="B6" s="347" t="s">
        <v>545</v>
      </c>
      <c r="C6" s="347"/>
      <c r="D6" s="347"/>
      <c r="E6" s="347"/>
    </row>
    <row r="7" spans="2:6" ht="39" customHeight="1">
      <c r="B7" s="332"/>
      <c r="C7" s="332"/>
      <c r="D7" s="332"/>
      <c r="E7" s="332"/>
    </row>
    <row r="8" spans="2:6">
      <c r="B8" s="330" t="s">
        <v>386</v>
      </c>
      <c r="C8" s="331"/>
      <c r="D8" s="330"/>
      <c r="E8" s="331"/>
    </row>
    <row r="9" spans="2:6" ht="54.75" customHeight="1">
      <c r="B9" s="334" t="s">
        <v>435</v>
      </c>
      <c r="C9" s="335"/>
      <c r="D9" s="336" t="s">
        <v>493</v>
      </c>
      <c r="E9" s="337"/>
    </row>
    <row r="10" spans="2:6" ht="36.75" customHeight="1">
      <c r="B10" s="352" t="s">
        <v>543</v>
      </c>
      <c r="C10" s="339"/>
      <c r="D10" s="340" t="s">
        <v>431</v>
      </c>
      <c r="E10" s="341"/>
    </row>
    <row r="11" spans="2:6" ht="36.75" customHeight="1">
      <c r="B11" s="342" t="s">
        <v>429</v>
      </c>
      <c r="C11" s="343"/>
      <c r="D11" s="344" t="s">
        <v>432</v>
      </c>
      <c r="E11" s="345"/>
    </row>
    <row r="12" spans="2:6" ht="36.75" customHeight="1">
      <c r="B12" s="342" t="s">
        <v>430</v>
      </c>
      <c r="C12" s="343"/>
      <c r="D12" s="344" t="s">
        <v>432</v>
      </c>
      <c r="E12" s="345"/>
    </row>
    <row r="13" spans="2:6" ht="36.75" customHeight="1">
      <c r="B13" s="299" t="s">
        <v>427</v>
      </c>
      <c r="C13" s="300"/>
      <c r="D13" s="299" t="s">
        <v>428</v>
      </c>
      <c r="E13" s="300"/>
    </row>
    <row r="14" spans="2:6" ht="36.75" customHeight="1">
      <c r="B14" s="352" t="s">
        <v>544</v>
      </c>
      <c r="C14" s="339"/>
      <c r="D14" s="344" t="s">
        <v>432</v>
      </c>
      <c r="E14" s="345"/>
    </row>
    <row r="15" spans="2:6">
      <c r="D15" s="348" t="s">
        <v>415</v>
      </c>
      <c r="E15" s="348"/>
    </row>
    <row r="16" spans="2:6" ht="52.5" customHeight="1">
      <c r="D16" s="197"/>
      <c r="E16" s="197"/>
    </row>
    <row r="17" spans="2:5" ht="25.5">
      <c r="B17" s="206" t="s">
        <v>542</v>
      </c>
      <c r="C17" s="206"/>
      <c r="D17" s="155"/>
    </row>
    <row r="18" spans="2:5">
      <c r="B18" s="330" t="s">
        <v>386</v>
      </c>
      <c r="C18" s="331"/>
      <c r="D18" s="330"/>
      <c r="E18" s="331"/>
    </row>
    <row r="19" spans="2:5" ht="54.75" customHeight="1">
      <c r="B19" s="334" t="s">
        <v>435</v>
      </c>
      <c r="C19" s="335"/>
      <c r="D19" s="336" t="s">
        <v>493</v>
      </c>
      <c r="E19" s="337"/>
    </row>
    <row r="20" spans="2:5" ht="36.75" customHeight="1">
      <c r="B20" s="299" t="s">
        <v>387</v>
      </c>
      <c r="C20" s="300"/>
      <c r="D20" s="299"/>
      <c r="E20" s="300"/>
    </row>
    <row r="21" spans="2:5" ht="36.75" customHeight="1">
      <c r="B21" s="342" t="s">
        <v>312</v>
      </c>
      <c r="C21" s="343"/>
      <c r="D21" s="342"/>
      <c r="E21" s="343"/>
    </row>
    <row r="22" spans="2:5" ht="36.75" customHeight="1">
      <c r="B22" s="342" t="s">
        <v>391</v>
      </c>
      <c r="C22" s="343"/>
      <c r="D22" s="342"/>
      <c r="E22" s="343"/>
    </row>
    <row r="23" spans="2:5" ht="36.75" customHeight="1">
      <c r="B23" s="299" t="s">
        <v>388</v>
      </c>
      <c r="C23" s="300"/>
      <c r="D23" s="299" t="s">
        <v>390</v>
      </c>
      <c r="E23" s="300"/>
    </row>
    <row r="24" spans="2:5" ht="36.75" customHeight="1">
      <c r="B24" s="299" t="s">
        <v>389</v>
      </c>
      <c r="C24" s="300"/>
      <c r="D24" s="299"/>
      <c r="E24" s="300"/>
    </row>
    <row r="25" spans="2:5">
      <c r="D25" s="346" t="s">
        <v>415</v>
      </c>
      <c r="E25" s="346"/>
    </row>
  </sheetData>
  <mergeCells count="34">
    <mergeCell ref="B1:E1"/>
    <mergeCell ref="B3:E3"/>
    <mergeCell ref="B4:E4"/>
    <mergeCell ref="B8:C8"/>
    <mergeCell ref="D8:E8"/>
    <mergeCell ref="B9:C9"/>
    <mergeCell ref="D9:E9"/>
    <mergeCell ref="B10:C10"/>
    <mergeCell ref="D10:E10"/>
    <mergeCell ref="D15:E15"/>
    <mergeCell ref="B18:C18"/>
    <mergeCell ref="D18:E18"/>
    <mergeCell ref="B11:C11"/>
    <mergeCell ref="D11:E11"/>
    <mergeCell ref="B12:C12"/>
    <mergeCell ref="D12:E12"/>
    <mergeCell ref="B13:C13"/>
    <mergeCell ref="D13:E13"/>
    <mergeCell ref="D25:E25"/>
    <mergeCell ref="B6:E7"/>
    <mergeCell ref="B22:C22"/>
    <mergeCell ref="D22:E22"/>
    <mergeCell ref="B23:C23"/>
    <mergeCell ref="D23:E23"/>
    <mergeCell ref="B24:C24"/>
    <mergeCell ref="D24:E24"/>
    <mergeCell ref="B19:C19"/>
    <mergeCell ref="D19:E19"/>
    <mergeCell ref="B20:C20"/>
    <mergeCell ref="D20:E20"/>
    <mergeCell ref="B21:C21"/>
    <mergeCell ref="D21:E21"/>
    <mergeCell ref="B14:C14"/>
    <mergeCell ref="D14:E14"/>
  </mergeCells>
  <phoneticPr fontId="2"/>
  <printOptions horizontalCentered="1"/>
  <pageMargins left="0.70866141732283472" right="0.70866141732283472" top="0.74803149606299213" bottom="0.74803149606299213" header="0.31496062992125984" footer="0.31496062992125984"/>
  <pageSetup paperSize="9" scale="71"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8EC0-AD67-4AE2-9154-6E9B2AC6C9D5}">
  <sheetPr>
    <tabColor theme="4" tint="0.79998168889431442"/>
  </sheetPr>
  <dimension ref="B1:Z63"/>
  <sheetViews>
    <sheetView view="pageBreakPreview" topLeftCell="A6" zoomScaleNormal="100" zoomScaleSheetLayoutView="100" zoomScalePageLayoutView="55" workbookViewId="0"/>
  </sheetViews>
  <sheetFormatPr defaultRowHeight="18.75"/>
  <cols>
    <col min="2" max="2" width="5.125" customWidth="1"/>
    <col min="3" max="3" width="12.125" customWidth="1"/>
    <col min="4" max="24" width="3.375" customWidth="1"/>
  </cols>
  <sheetData>
    <row r="1" spans="2:26" ht="30">
      <c r="B1" s="326" t="s">
        <v>464</v>
      </c>
      <c r="C1" s="326"/>
      <c r="D1" s="326"/>
      <c r="E1" s="326"/>
      <c r="F1" s="326"/>
      <c r="G1" s="326"/>
      <c r="H1" s="326"/>
      <c r="I1" s="326"/>
      <c r="J1" s="326"/>
      <c r="K1" s="326"/>
      <c r="L1" s="326"/>
      <c r="M1" s="326"/>
      <c r="N1" s="326"/>
      <c r="O1" s="326"/>
      <c r="P1" s="326"/>
      <c r="Q1" s="326"/>
      <c r="R1" s="326"/>
      <c r="S1" s="326"/>
      <c r="T1" s="326"/>
      <c r="U1" s="326"/>
      <c r="V1" s="326"/>
      <c r="W1" s="326"/>
      <c r="X1" s="326"/>
      <c r="Y1" s="161" t="str">
        <f>IFERROR(VLOOKUP($B$1,送付状・返送書類リスト!$B$18:$C$27,2,FALSE),"")</f>
        <v>⑷</v>
      </c>
      <c r="Z1" s="205"/>
    </row>
    <row r="2" spans="2:26" ht="9.75" customHeight="1"/>
    <row r="3" spans="2:26">
      <c r="B3" s="329" t="s">
        <v>492</v>
      </c>
      <c r="C3" s="329"/>
      <c r="D3" s="329"/>
      <c r="E3" s="329"/>
      <c r="F3" s="329"/>
      <c r="G3" s="329"/>
      <c r="H3" s="329"/>
      <c r="I3" s="329"/>
      <c r="J3" s="329"/>
      <c r="K3" s="329"/>
      <c r="L3" s="329"/>
      <c r="M3" s="329"/>
      <c r="N3" s="329"/>
      <c r="O3" s="329"/>
      <c r="P3" s="329"/>
      <c r="Q3" s="329"/>
      <c r="R3" s="329"/>
      <c r="S3" s="329"/>
      <c r="T3" s="329"/>
      <c r="U3" s="329"/>
      <c r="V3" s="329"/>
      <c r="W3" s="329"/>
      <c r="X3" s="329"/>
      <c r="Z3" s="156"/>
    </row>
    <row r="6" spans="2:26" ht="22.5" customHeight="1">
      <c r="B6" s="330" t="s">
        <v>386</v>
      </c>
      <c r="C6" s="331"/>
      <c r="D6" s="330"/>
      <c r="E6" s="359"/>
      <c r="F6" s="359"/>
      <c r="G6" s="359"/>
      <c r="H6" s="359"/>
      <c r="I6" s="359"/>
      <c r="J6" s="359"/>
      <c r="K6" s="359"/>
      <c r="L6" s="359"/>
      <c r="M6" s="359"/>
      <c r="N6" s="359"/>
      <c r="O6" s="359"/>
      <c r="P6" s="359"/>
      <c r="Q6" s="359"/>
      <c r="R6" s="359"/>
      <c r="S6" s="359"/>
      <c r="T6" s="359"/>
      <c r="U6" s="359"/>
      <c r="V6" s="359"/>
      <c r="W6" s="359"/>
      <c r="X6" s="331"/>
    </row>
    <row r="7" spans="2:26" ht="54.75" customHeight="1">
      <c r="B7" s="334" t="s">
        <v>435</v>
      </c>
      <c r="C7" s="335"/>
      <c r="D7" s="336" t="s">
        <v>493</v>
      </c>
      <c r="E7" s="360"/>
      <c r="F7" s="360"/>
      <c r="G7" s="360"/>
      <c r="H7" s="360"/>
      <c r="I7" s="360"/>
      <c r="J7" s="360"/>
      <c r="K7" s="360"/>
      <c r="L7" s="360"/>
      <c r="M7" s="360"/>
      <c r="N7" s="360"/>
      <c r="O7" s="360"/>
      <c r="P7" s="360"/>
      <c r="Q7" s="360"/>
      <c r="R7" s="360"/>
      <c r="S7" s="360"/>
      <c r="T7" s="360"/>
      <c r="U7" s="360"/>
      <c r="V7" s="360"/>
      <c r="W7" s="360"/>
      <c r="X7" s="337"/>
    </row>
    <row r="8" spans="2:26" ht="36.75" customHeight="1">
      <c r="B8" s="299" t="s">
        <v>398</v>
      </c>
      <c r="C8" s="300"/>
      <c r="D8" s="299"/>
      <c r="E8" s="298"/>
      <c r="F8" s="298"/>
      <c r="G8" s="298"/>
      <c r="H8" s="298"/>
      <c r="I8" s="298"/>
      <c r="J8" s="298"/>
      <c r="K8" s="298"/>
      <c r="L8" s="298"/>
      <c r="M8" s="298"/>
      <c r="N8" s="298"/>
      <c r="O8" s="298"/>
      <c r="P8" s="298"/>
      <c r="Q8" s="298"/>
      <c r="R8" s="298"/>
      <c r="S8" s="298"/>
      <c r="T8" s="298"/>
      <c r="U8" s="298"/>
      <c r="V8" s="298"/>
      <c r="W8" s="298"/>
      <c r="X8" s="300"/>
    </row>
    <row r="9" spans="2:26" ht="36.75" customHeight="1">
      <c r="B9" s="342" t="s">
        <v>312</v>
      </c>
      <c r="C9" s="343"/>
      <c r="D9" s="342"/>
      <c r="E9" s="358"/>
      <c r="F9" s="358"/>
      <c r="G9" s="358"/>
      <c r="H9" s="358"/>
      <c r="I9" s="358"/>
      <c r="J9" s="358"/>
      <c r="K9" s="358"/>
      <c r="L9" s="358"/>
      <c r="M9" s="358"/>
      <c r="N9" s="358"/>
      <c r="O9" s="358"/>
      <c r="P9" s="358"/>
      <c r="Q9" s="358"/>
      <c r="R9" s="358"/>
      <c r="S9" s="358"/>
      <c r="T9" s="358"/>
      <c r="U9" s="358"/>
      <c r="V9" s="358"/>
      <c r="W9" s="358"/>
      <c r="X9" s="343"/>
    </row>
    <row r="10" spans="2:26" ht="36.75" customHeight="1">
      <c r="B10" s="342" t="s">
        <v>391</v>
      </c>
      <c r="C10" s="343"/>
      <c r="D10" s="342"/>
      <c r="E10" s="358"/>
      <c r="F10" s="358"/>
      <c r="G10" s="358"/>
      <c r="H10" s="358"/>
      <c r="I10" s="358"/>
      <c r="J10" s="358"/>
      <c r="K10" s="358"/>
      <c r="L10" s="358"/>
      <c r="M10" s="358"/>
      <c r="N10" s="358"/>
      <c r="O10" s="358"/>
      <c r="P10" s="358"/>
      <c r="Q10" s="358"/>
      <c r="R10" s="358"/>
      <c r="S10" s="358"/>
      <c r="T10" s="358"/>
      <c r="U10" s="358"/>
      <c r="V10" s="358"/>
      <c r="W10" s="358"/>
      <c r="X10" s="343"/>
    </row>
    <row r="11" spans="2:26" ht="36.75" customHeight="1">
      <c r="B11" s="299" t="s">
        <v>389</v>
      </c>
      <c r="C11" s="300"/>
      <c r="D11" s="299"/>
      <c r="E11" s="298"/>
      <c r="F11" s="298"/>
      <c r="G11" s="298"/>
      <c r="H11" s="298"/>
      <c r="I11" s="298"/>
      <c r="J11" s="298"/>
      <c r="K11" s="298"/>
      <c r="L11" s="298"/>
      <c r="M11" s="298"/>
      <c r="N11" s="298"/>
      <c r="O11" s="298"/>
      <c r="P11" s="298"/>
      <c r="Q11" s="298"/>
      <c r="R11" s="298"/>
      <c r="S11" s="298"/>
      <c r="T11" s="298"/>
      <c r="U11" s="298"/>
      <c r="V11" s="298"/>
      <c r="W11" s="298"/>
      <c r="X11" s="300"/>
    </row>
    <row r="12" spans="2:26" ht="36.75" customHeight="1">
      <c r="B12" s="342" t="s">
        <v>401</v>
      </c>
      <c r="C12" s="300"/>
      <c r="D12" s="158"/>
      <c r="E12" s="159"/>
      <c r="F12" s="159"/>
      <c r="G12" s="159"/>
      <c r="H12" s="159"/>
      <c r="I12" s="159"/>
      <c r="J12" s="254"/>
      <c r="K12" s="253"/>
      <c r="L12" s="159"/>
      <c r="M12" s="254"/>
      <c r="N12" s="253"/>
      <c r="O12" s="159"/>
      <c r="P12" s="159"/>
      <c r="Q12" s="159"/>
      <c r="R12" s="159"/>
      <c r="S12" s="254"/>
      <c r="T12" s="253"/>
      <c r="U12" s="159"/>
      <c r="V12" s="159"/>
      <c r="W12" s="159"/>
      <c r="X12" s="160"/>
    </row>
    <row r="13" spans="2:26" ht="30" customHeight="1"/>
    <row r="15" spans="2:26" ht="15.75" customHeight="1"/>
    <row r="16" spans="2:26" ht="22.5" customHeight="1">
      <c r="B16" s="327" t="s">
        <v>504</v>
      </c>
      <c r="C16" s="327"/>
      <c r="D16" s="327"/>
      <c r="E16" s="327"/>
      <c r="F16" s="327"/>
      <c r="G16" s="327"/>
      <c r="H16" s="327"/>
      <c r="I16" s="327"/>
      <c r="J16" s="327"/>
      <c r="K16" s="327"/>
      <c r="L16" s="327"/>
      <c r="M16" s="327"/>
      <c r="N16" s="327"/>
      <c r="O16" s="327"/>
      <c r="P16" s="327"/>
      <c r="Q16" s="327"/>
      <c r="R16" s="327"/>
      <c r="S16" s="327"/>
      <c r="T16" s="327"/>
      <c r="U16" s="327"/>
      <c r="V16" s="327"/>
      <c r="W16" s="327"/>
      <c r="X16" s="327"/>
    </row>
    <row r="17" spans="2:24" ht="22.5" customHeight="1"/>
    <row r="18" spans="2:24" ht="31.5" customHeight="1">
      <c r="B18" s="330" t="s">
        <v>386</v>
      </c>
      <c r="C18" s="331"/>
      <c r="D18" s="353"/>
      <c r="E18" s="353"/>
      <c r="F18" s="353"/>
      <c r="G18" s="353"/>
      <c r="H18" s="353"/>
      <c r="I18" s="353"/>
      <c r="J18" s="353"/>
      <c r="K18" s="353"/>
      <c r="L18" s="353"/>
      <c r="M18" s="353"/>
      <c r="N18" s="353"/>
      <c r="O18" s="353"/>
      <c r="P18" s="353"/>
      <c r="Q18" s="353"/>
      <c r="R18" s="353"/>
      <c r="S18" s="353"/>
      <c r="T18" s="353"/>
      <c r="U18" s="353"/>
      <c r="V18" s="353"/>
      <c r="W18" s="353"/>
      <c r="X18" s="353"/>
    </row>
    <row r="19" spans="2:24" ht="59.25" customHeight="1">
      <c r="B19" s="334" t="s">
        <v>435</v>
      </c>
      <c r="C19" s="335"/>
      <c r="D19" s="354" t="s">
        <v>493</v>
      </c>
      <c r="E19" s="354"/>
      <c r="F19" s="354"/>
      <c r="G19" s="354"/>
      <c r="H19" s="354"/>
      <c r="I19" s="354"/>
      <c r="J19" s="354"/>
      <c r="K19" s="354"/>
      <c r="L19" s="354"/>
      <c r="M19" s="354"/>
      <c r="N19" s="354"/>
      <c r="O19" s="354"/>
      <c r="P19" s="354"/>
      <c r="Q19" s="354"/>
      <c r="R19" s="354"/>
      <c r="S19" s="354"/>
      <c r="T19" s="354"/>
      <c r="U19" s="354"/>
      <c r="V19" s="354"/>
      <c r="W19" s="354"/>
      <c r="X19" s="354"/>
    </row>
    <row r="20" spans="2:24" ht="36.75" customHeight="1">
      <c r="B20" s="299" t="s">
        <v>387</v>
      </c>
      <c r="C20" s="300"/>
      <c r="D20" s="355"/>
      <c r="E20" s="355"/>
      <c r="F20" s="355"/>
      <c r="G20" s="355"/>
      <c r="H20" s="355"/>
      <c r="I20" s="355"/>
      <c r="J20" s="355"/>
      <c r="K20" s="355"/>
      <c r="L20" s="355"/>
      <c r="M20" s="355"/>
      <c r="N20" s="355"/>
      <c r="O20" s="355"/>
      <c r="P20" s="355"/>
      <c r="Q20" s="355"/>
      <c r="R20" s="355"/>
      <c r="S20" s="355"/>
      <c r="T20" s="355"/>
      <c r="U20" s="355"/>
      <c r="V20" s="355"/>
      <c r="W20" s="355"/>
      <c r="X20" s="355"/>
    </row>
    <row r="21" spans="2:24" ht="36.75" customHeight="1">
      <c r="B21" s="342" t="s">
        <v>312</v>
      </c>
      <c r="C21" s="343"/>
      <c r="D21" s="356"/>
      <c r="E21" s="356"/>
      <c r="F21" s="356"/>
      <c r="G21" s="356"/>
      <c r="H21" s="356"/>
      <c r="I21" s="356"/>
      <c r="J21" s="356"/>
      <c r="K21" s="356"/>
      <c r="L21" s="356"/>
      <c r="M21" s="356"/>
      <c r="N21" s="356"/>
      <c r="O21" s="356"/>
      <c r="P21" s="356"/>
      <c r="Q21" s="356"/>
      <c r="R21" s="356"/>
      <c r="S21" s="356"/>
      <c r="T21" s="356"/>
      <c r="U21" s="356"/>
      <c r="V21" s="356"/>
      <c r="W21" s="356"/>
      <c r="X21" s="356"/>
    </row>
    <row r="22" spans="2:24" ht="36.75" customHeight="1">
      <c r="B22" s="342" t="s">
        <v>391</v>
      </c>
      <c r="C22" s="343"/>
      <c r="D22" s="356"/>
      <c r="E22" s="356"/>
      <c r="F22" s="356"/>
      <c r="G22" s="356"/>
      <c r="H22" s="356"/>
      <c r="I22" s="356"/>
      <c r="J22" s="356"/>
      <c r="K22" s="356"/>
      <c r="L22" s="356"/>
      <c r="M22" s="356"/>
      <c r="N22" s="356"/>
      <c r="O22" s="356"/>
      <c r="P22" s="356"/>
      <c r="Q22" s="356"/>
      <c r="R22" s="356"/>
      <c r="S22" s="356"/>
      <c r="T22" s="356"/>
      <c r="U22" s="356"/>
      <c r="V22" s="356"/>
      <c r="W22" s="356"/>
      <c r="X22" s="356"/>
    </row>
    <row r="23" spans="2:24" ht="36.75" customHeight="1">
      <c r="B23" s="299" t="s">
        <v>388</v>
      </c>
      <c r="C23" s="300"/>
      <c r="D23" s="355" t="s">
        <v>390</v>
      </c>
      <c r="E23" s="355"/>
      <c r="F23" s="355"/>
      <c r="G23" s="355"/>
      <c r="H23" s="355"/>
      <c r="I23" s="355"/>
      <c r="J23" s="355"/>
      <c r="K23" s="355"/>
      <c r="L23" s="355"/>
      <c r="M23" s="355"/>
      <c r="N23" s="355"/>
      <c r="O23" s="355"/>
      <c r="P23" s="355"/>
      <c r="Q23" s="355"/>
      <c r="R23" s="355"/>
      <c r="S23" s="355"/>
      <c r="T23" s="355"/>
      <c r="U23" s="355"/>
      <c r="V23" s="355"/>
      <c r="W23" s="355"/>
      <c r="X23" s="355"/>
    </row>
    <row r="24" spans="2:24" ht="30" customHeight="1">
      <c r="B24" s="299" t="s">
        <v>389</v>
      </c>
      <c r="C24" s="300"/>
      <c r="D24" s="355"/>
      <c r="E24" s="355"/>
      <c r="F24" s="355"/>
      <c r="G24" s="355"/>
      <c r="H24" s="355"/>
      <c r="I24" s="355"/>
      <c r="J24" s="355"/>
      <c r="K24" s="355"/>
      <c r="L24" s="355"/>
      <c r="M24" s="355"/>
      <c r="N24" s="355"/>
      <c r="O24" s="355"/>
      <c r="P24" s="355"/>
      <c r="Q24" s="355"/>
      <c r="R24" s="355"/>
      <c r="S24" s="355"/>
      <c r="T24" s="355"/>
      <c r="U24" s="355"/>
      <c r="V24" s="355"/>
      <c r="W24" s="355"/>
      <c r="X24" s="355"/>
    </row>
    <row r="25" spans="2:24">
      <c r="D25" s="357" t="s">
        <v>415</v>
      </c>
      <c r="E25" s="357"/>
      <c r="F25" s="357"/>
      <c r="G25" s="357"/>
      <c r="H25" s="357"/>
      <c r="I25" s="357"/>
      <c r="J25" s="357"/>
      <c r="K25" s="357"/>
      <c r="L25" s="357"/>
      <c r="M25" s="357"/>
      <c r="N25" s="357"/>
      <c r="O25" s="357"/>
      <c r="P25" s="357"/>
      <c r="Q25" s="357"/>
      <c r="R25" s="357"/>
      <c r="S25" s="357"/>
      <c r="T25" s="357"/>
      <c r="U25" s="357"/>
      <c r="V25" s="357"/>
      <c r="W25" s="357"/>
      <c r="X25" s="357"/>
    </row>
    <row r="26" spans="2:24" ht="15.75" customHeight="1"/>
    <row r="27" spans="2:24" ht="22.5" customHeight="1"/>
    <row r="28" spans="2:24" ht="54.75" customHeight="1"/>
    <row r="29" spans="2:24" ht="36.75" customHeight="1"/>
    <row r="30" spans="2:24" ht="36.75" customHeight="1"/>
    <row r="31" spans="2:24" ht="36.75" customHeight="1"/>
    <row r="32" spans="2:24" ht="36.75" customHeight="1"/>
    <row r="33" ht="36.75" customHeight="1"/>
    <row r="34" ht="42" customHeight="1"/>
    <row r="36" ht="15.75" customHeight="1"/>
    <row r="37" ht="22.5" customHeight="1"/>
    <row r="38" ht="54.75" customHeight="1"/>
    <row r="39" ht="36.75" customHeight="1"/>
    <row r="40" ht="36.75" customHeight="1"/>
    <row r="41" ht="36.75" customHeight="1"/>
    <row r="42" ht="36.75" customHeight="1"/>
    <row r="43" ht="36.75" customHeight="1"/>
    <row r="44" ht="30" customHeight="1"/>
    <row r="46" ht="15.75" customHeight="1"/>
    <row r="47" ht="22.5" customHeight="1"/>
    <row r="48" ht="54.75" customHeight="1"/>
    <row r="49" ht="36.75" customHeight="1"/>
    <row r="50" ht="36.75" customHeight="1"/>
    <row r="51" ht="36.75" customHeight="1"/>
    <row r="52" ht="36.75" customHeight="1"/>
    <row r="53" ht="36.75" customHeight="1"/>
    <row r="54" ht="30" customHeight="1"/>
    <row r="56" ht="15.75" customHeight="1"/>
    <row r="57" ht="22.5" customHeight="1"/>
    <row r="58" ht="54.75" customHeight="1"/>
    <row r="59" ht="36.75" customHeight="1"/>
    <row r="60" ht="36.75" customHeight="1"/>
    <row r="61" ht="36.75" customHeight="1"/>
    <row r="62" ht="36.75" customHeight="1"/>
    <row r="63" ht="36.75" customHeight="1"/>
  </sheetData>
  <sheetProtection sheet="1" objects="1" scenarios="1"/>
  <mergeCells count="31">
    <mergeCell ref="B12:C12"/>
    <mergeCell ref="B3:X3"/>
    <mergeCell ref="B6:C6"/>
    <mergeCell ref="B7:C7"/>
    <mergeCell ref="B8:C8"/>
    <mergeCell ref="B9:C9"/>
    <mergeCell ref="D6:X6"/>
    <mergeCell ref="D7:X7"/>
    <mergeCell ref="D8:X8"/>
    <mergeCell ref="D9:X9"/>
    <mergeCell ref="B1:X1"/>
    <mergeCell ref="D11:X11"/>
    <mergeCell ref="B10:C10"/>
    <mergeCell ref="D10:X10"/>
    <mergeCell ref="B11:C11"/>
    <mergeCell ref="D25:X25"/>
    <mergeCell ref="B21:C21"/>
    <mergeCell ref="B22:C22"/>
    <mergeCell ref="B23:C23"/>
    <mergeCell ref="B18:C18"/>
    <mergeCell ref="B19:C19"/>
    <mergeCell ref="B20:C20"/>
    <mergeCell ref="B16:X16"/>
    <mergeCell ref="B24:C24"/>
    <mergeCell ref="D18:X18"/>
    <mergeCell ref="D19:X19"/>
    <mergeCell ref="D20:X20"/>
    <mergeCell ref="D21:X21"/>
    <mergeCell ref="D22:X22"/>
    <mergeCell ref="D23:X23"/>
    <mergeCell ref="D24:X24"/>
  </mergeCells>
  <phoneticPr fontId="2"/>
  <printOptions horizontalCentered="1"/>
  <pageMargins left="0.70866141732283472" right="0.70866141732283472" top="0.74803149606299213" bottom="0.74803149606299213" header="0.31496062992125984" footer="0.31496062992125984"/>
  <pageSetup paperSize="9" scale="71" orientation="portrait" r:id="rId1"/>
  <rowBreaks count="1" manualBreakCount="1">
    <brk id="34" max="24"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D07C-C9B9-4F3E-A88B-F82D8C600D19}">
  <sheetPr>
    <tabColor theme="7" tint="0.79998168889431442"/>
  </sheetPr>
  <dimension ref="A1:G25"/>
  <sheetViews>
    <sheetView view="pageBreakPreview" zoomScale="60" zoomScaleNormal="100" zoomScalePageLayoutView="70" workbookViewId="0"/>
  </sheetViews>
  <sheetFormatPr defaultRowHeight="15.75"/>
  <cols>
    <col min="1" max="1" width="5.25" style="3" customWidth="1"/>
    <col min="2" max="2" width="5.375" style="3" customWidth="1"/>
    <col min="3" max="3" width="22.25" style="3" customWidth="1"/>
    <col min="4" max="4" width="24.5" style="3" customWidth="1"/>
    <col min="5" max="5" width="30.875" style="3" customWidth="1"/>
    <col min="6" max="6" width="7" style="3" customWidth="1"/>
    <col min="7" max="7" width="7.625" style="3" customWidth="1"/>
    <col min="8" max="16384" width="9" style="3"/>
  </cols>
  <sheetData>
    <row r="1" spans="1:7" ht="28.5">
      <c r="B1" s="363" t="s">
        <v>467</v>
      </c>
      <c r="C1" s="363"/>
      <c r="D1" s="363"/>
      <c r="E1" s="363"/>
      <c r="F1" s="223" t="str">
        <f>IFERROR(VLOOKUP("遺産分割協議成立後のスケジュール",送付状・返送書類リスト!$B$18:$C$27,2,FALSE),"")</f>
        <v>⑹</v>
      </c>
      <c r="G1" s="208"/>
    </row>
    <row r="2" spans="1:7" ht="57.75" customHeight="1">
      <c r="A2" s="362" t="s">
        <v>468</v>
      </c>
      <c r="B2" s="362"/>
      <c r="C2" s="362"/>
      <c r="D2" s="362"/>
      <c r="E2" s="362"/>
      <c r="F2" s="362"/>
      <c r="G2" s="209"/>
    </row>
    <row r="3" spans="1:7" ht="18.75" customHeight="1">
      <c r="A3" s="207"/>
      <c r="B3" s="207"/>
      <c r="C3" s="207"/>
      <c r="D3" s="207"/>
      <c r="E3" s="207"/>
      <c r="F3" s="207"/>
      <c r="G3" s="207"/>
    </row>
    <row r="4" spans="1:7" ht="34.5" customHeight="1">
      <c r="A4" s="210"/>
      <c r="B4" s="211"/>
      <c r="C4" s="368" t="s">
        <v>469</v>
      </c>
      <c r="D4" s="368"/>
      <c r="E4" s="368" t="s">
        <v>470</v>
      </c>
      <c r="F4" s="368"/>
      <c r="G4" s="207"/>
    </row>
    <row r="5" spans="1:7" ht="34.5" customHeight="1">
      <c r="A5" s="210"/>
      <c r="B5" s="217" t="s">
        <v>471</v>
      </c>
      <c r="C5" s="364" t="s">
        <v>472</v>
      </c>
      <c r="D5" s="364"/>
      <c r="E5" s="367" t="s">
        <v>473</v>
      </c>
      <c r="F5" s="367"/>
      <c r="G5" s="207"/>
    </row>
    <row r="6" spans="1:7" ht="34.5" customHeight="1">
      <c r="A6" s="210"/>
      <c r="B6" s="216" t="s">
        <v>474</v>
      </c>
      <c r="C6" s="365" t="s">
        <v>475</v>
      </c>
      <c r="D6" s="365"/>
      <c r="E6" s="367"/>
      <c r="F6" s="367"/>
      <c r="G6" s="207"/>
    </row>
    <row r="7" spans="1:7" ht="34.5" customHeight="1">
      <c r="A7" s="210"/>
      <c r="B7" s="212" t="s">
        <v>476</v>
      </c>
      <c r="C7" s="366" t="s">
        <v>477</v>
      </c>
      <c r="D7" s="366"/>
      <c r="E7" s="367" t="s">
        <v>480</v>
      </c>
      <c r="F7" s="367"/>
      <c r="G7" s="207"/>
    </row>
    <row r="8" spans="1:7" ht="18.75" customHeight="1">
      <c r="A8" s="210"/>
      <c r="B8" s="210" t="s">
        <v>478</v>
      </c>
      <c r="C8" s="210"/>
      <c r="D8" s="210"/>
      <c r="E8" s="210"/>
      <c r="F8" s="210"/>
      <c r="G8" s="207"/>
    </row>
    <row r="9" spans="1:7" ht="53.25" customHeight="1">
      <c r="A9" s="210"/>
      <c r="B9" s="210"/>
      <c r="C9" s="210"/>
      <c r="D9" s="210"/>
      <c r="E9" s="210"/>
      <c r="F9" s="210"/>
      <c r="G9" s="207"/>
    </row>
    <row r="10" spans="1:7" ht="18.75" customHeight="1">
      <c r="A10" s="210"/>
      <c r="B10" s="210" t="s">
        <v>479</v>
      </c>
      <c r="C10" s="210"/>
      <c r="D10" s="210"/>
      <c r="E10" s="210"/>
      <c r="F10" s="210"/>
      <c r="G10" s="207"/>
    </row>
    <row r="11" spans="1:7" ht="18.75" customHeight="1">
      <c r="A11" s="210"/>
      <c r="B11" s="213" t="s">
        <v>481</v>
      </c>
      <c r="C11" s="213"/>
      <c r="D11" s="213"/>
      <c r="E11" s="213"/>
      <c r="F11" s="213"/>
      <c r="G11" s="207"/>
    </row>
    <row r="12" spans="1:7" ht="18.75" customHeight="1">
      <c r="A12" s="210"/>
      <c r="B12" s="213"/>
      <c r="C12" s="213"/>
      <c r="D12" s="213"/>
      <c r="E12" s="213"/>
      <c r="F12" s="213"/>
      <c r="G12" s="207"/>
    </row>
    <row r="13" spans="1:7" ht="18.75" customHeight="1">
      <c r="A13" s="210"/>
      <c r="B13" s="361" t="s">
        <v>482</v>
      </c>
      <c r="C13" s="361"/>
      <c r="D13" s="361"/>
      <c r="E13" s="361"/>
      <c r="F13" s="361"/>
      <c r="G13" s="207"/>
    </row>
    <row r="14" spans="1:7" ht="18.75" customHeight="1">
      <c r="A14" s="210"/>
      <c r="B14" s="361"/>
      <c r="C14" s="361"/>
      <c r="D14" s="361"/>
      <c r="E14" s="361"/>
      <c r="F14" s="361"/>
      <c r="G14" s="207"/>
    </row>
    <row r="15" spans="1:7" ht="18.75" customHeight="1">
      <c r="A15" s="210"/>
      <c r="B15" s="361"/>
      <c r="C15" s="361"/>
      <c r="D15" s="361"/>
      <c r="E15" s="361"/>
      <c r="F15" s="361"/>
      <c r="G15" s="207"/>
    </row>
    <row r="16" spans="1:7" ht="18.75" customHeight="1">
      <c r="A16" s="210"/>
      <c r="B16" s="214"/>
      <c r="C16" s="214"/>
      <c r="D16" s="214"/>
      <c r="E16" s="214"/>
      <c r="F16" s="214"/>
      <c r="G16" s="207"/>
    </row>
    <row r="17" spans="1:7" ht="18.75" customHeight="1">
      <c r="A17" s="210"/>
      <c r="B17" s="361" t="s">
        <v>484</v>
      </c>
      <c r="C17" s="361"/>
      <c r="D17" s="361"/>
      <c r="E17" s="361"/>
      <c r="F17" s="361"/>
      <c r="G17" s="207"/>
    </row>
    <row r="18" spans="1:7" ht="18.75" customHeight="1">
      <c r="A18" s="210"/>
      <c r="B18" s="361"/>
      <c r="C18" s="361"/>
      <c r="D18" s="361"/>
      <c r="E18" s="361"/>
      <c r="F18" s="361"/>
      <c r="G18" s="207"/>
    </row>
    <row r="19" spans="1:7" ht="18.75" customHeight="1">
      <c r="A19" s="210"/>
      <c r="B19" s="361"/>
      <c r="C19" s="361"/>
      <c r="D19" s="361"/>
      <c r="E19" s="361"/>
      <c r="F19" s="361"/>
      <c r="G19" s="207"/>
    </row>
    <row r="20" spans="1:7" ht="18.75" customHeight="1">
      <c r="A20" s="210"/>
      <c r="B20" s="210"/>
      <c r="C20" s="210"/>
      <c r="D20" s="210"/>
      <c r="E20" s="210"/>
      <c r="F20" s="210"/>
    </row>
    <row r="21" spans="1:7" ht="18.75" customHeight="1">
      <c r="A21" s="210"/>
      <c r="B21" s="210"/>
      <c r="C21" s="210"/>
      <c r="D21" s="210"/>
      <c r="E21" s="210"/>
      <c r="F21" s="215" t="s">
        <v>483</v>
      </c>
    </row>
    <row r="22" spans="1:7" ht="18.75" customHeight="1">
      <c r="A22" s="210"/>
      <c r="B22" s="210"/>
      <c r="C22" s="210"/>
      <c r="D22" s="210"/>
      <c r="E22" s="210"/>
      <c r="F22" s="210"/>
    </row>
    <row r="23" spans="1:7" ht="19.5">
      <c r="A23" s="210"/>
      <c r="B23" s="210"/>
      <c r="C23" s="210"/>
      <c r="D23" s="210"/>
      <c r="E23" s="210"/>
      <c r="F23" s="210"/>
    </row>
    <row r="24" spans="1:7" ht="19.5">
      <c r="A24" s="210"/>
      <c r="B24" s="210"/>
      <c r="C24" s="210"/>
      <c r="D24" s="210"/>
      <c r="E24" s="210"/>
      <c r="F24" s="210"/>
    </row>
    <row r="25" spans="1:7" ht="19.5">
      <c r="A25" s="210"/>
      <c r="B25" s="210"/>
      <c r="C25" s="210"/>
      <c r="D25" s="210"/>
      <c r="E25" s="210"/>
      <c r="F25" s="210"/>
    </row>
  </sheetData>
  <sheetProtection sheet="1" objects="1" scenarios="1"/>
  <mergeCells count="11">
    <mergeCell ref="B13:F15"/>
    <mergeCell ref="B17:F19"/>
    <mergeCell ref="A2:F2"/>
    <mergeCell ref="B1:E1"/>
    <mergeCell ref="C5:D5"/>
    <mergeCell ref="C6:D6"/>
    <mergeCell ref="C7:D7"/>
    <mergeCell ref="E5:F6"/>
    <mergeCell ref="E7:F7"/>
    <mergeCell ref="E4:F4"/>
    <mergeCell ref="C4:D4"/>
  </mergeCells>
  <phoneticPr fontId="2"/>
  <pageMargins left="0.7" right="0.7" top="0.75" bottom="0.75" header="0.3" footer="0.3"/>
  <pageSetup paperSize="9" scale="83"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607D8-1F05-403C-8F4C-3F880284D5F1}">
  <sheetPr>
    <tabColor theme="7" tint="0.79998168889431442"/>
  </sheetPr>
  <dimension ref="A1:R62"/>
  <sheetViews>
    <sheetView view="pageBreakPreview" topLeftCell="A17" zoomScale="85" zoomScaleNormal="100" zoomScaleSheetLayoutView="85" workbookViewId="0">
      <selection activeCell="K59" sqref="K59"/>
    </sheetView>
  </sheetViews>
  <sheetFormatPr defaultRowHeight="18.75"/>
  <cols>
    <col min="1" max="1" width="2.625" style="165" customWidth="1"/>
    <col min="2" max="2" width="9.25" style="165" customWidth="1"/>
    <col min="3" max="3" width="22.125" style="165" customWidth="1"/>
    <col min="4" max="4" width="6.375" style="165" customWidth="1"/>
    <col min="5" max="5" width="4" style="165" customWidth="1"/>
    <col min="6" max="6" width="2.625" style="165" customWidth="1"/>
    <col min="7" max="7" width="9.25" style="165" customWidth="1"/>
    <col min="8" max="8" width="22.125" style="165" customWidth="1"/>
    <col min="9" max="9" width="6.375" style="165" customWidth="1"/>
    <col min="10" max="10" width="2.625" style="165" customWidth="1"/>
    <col min="11" max="11" width="16.25" style="166" customWidth="1"/>
    <col min="12" max="12" width="2.625" style="165" customWidth="1"/>
    <col min="13" max="13" width="10.625" style="189" customWidth="1"/>
    <col min="14" max="14" width="30.75" style="165" customWidth="1"/>
    <col min="15" max="15" width="2.625" style="165" customWidth="1"/>
    <col min="16" max="16" width="28.875" style="165" customWidth="1"/>
    <col min="17" max="17" width="10.75" style="165" customWidth="1"/>
    <col min="18" max="18" width="9" style="165"/>
    <col min="257" max="257" width="2.625" customWidth="1"/>
    <col min="258" max="258" width="9.25" customWidth="1"/>
    <col min="259" max="259" width="22.125" customWidth="1"/>
    <col min="260" max="260" width="6.375" customWidth="1"/>
    <col min="261" max="261" width="4" customWidth="1"/>
    <col min="262" max="262" width="2.625" customWidth="1"/>
    <col min="263" max="263" width="9.25" customWidth="1"/>
    <col min="264" max="264" width="22.125" customWidth="1"/>
    <col min="265" max="265" width="6.375" customWidth="1"/>
    <col min="266" max="266" width="2.625" customWidth="1"/>
    <col min="267" max="267" width="3.625" customWidth="1"/>
    <col min="268" max="268" width="2.625" customWidth="1"/>
    <col min="269" max="269" width="10.625" customWidth="1"/>
    <col min="270" max="270" width="30.75" customWidth="1"/>
    <col min="271" max="271" width="2.625" customWidth="1"/>
    <col min="272" max="272" width="28.875" customWidth="1"/>
    <col min="273" max="273" width="10.75" customWidth="1"/>
    <col min="513" max="513" width="2.625" customWidth="1"/>
    <col min="514" max="514" width="9.25" customWidth="1"/>
    <col min="515" max="515" width="22.125" customWidth="1"/>
    <col min="516" max="516" width="6.375" customWidth="1"/>
    <col min="517" max="517" width="4" customWidth="1"/>
    <col min="518" max="518" width="2.625" customWidth="1"/>
    <col min="519" max="519" width="9.25" customWidth="1"/>
    <col min="520" max="520" width="22.125" customWidth="1"/>
    <col min="521" max="521" width="6.375" customWidth="1"/>
    <col min="522" max="522" width="2.625" customWidth="1"/>
    <col min="523" max="523" width="3.625" customWidth="1"/>
    <col min="524" max="524" width="2.625" customWidth="1"/>
    <col min="525" max="525" width="10.625" customWidth="1"/>
    <col min="526" max="526" width="30.75" customWidth="1"/>
    <col min="527" max="527" width="2.625" customWidth="1"/>
    <col min="528" max="528" width="28.875" customWidth="1"/>
    <col min="529" max="529" width="10.75" customWidth="1"/>
    <col min="769" max="769" width="2.625" customWidth="1"/>
    <col min="770" max="770" width="9.25" customWidth="1"/>
    <col min="771" max="771" width="22.125" customWidth="1"/>
    <col min="772" max="772" width="6.375" customWidth="1"/>
    <col min="773" max="773" width="4" customWidth="1"/>
    <col min="774" max="774" width="2.625" customWidth="1"/>
    <col min="775" max="775" width="9.25" customWidth="1"/>
    <col min="776" max="776" width="22.125" customWidth="1"/>
    <col min="777" max="777" width="6.375" customWidth="1"/>
    <col min="778" max="778" width="2.625" customWidth="1"/>
    <col min="779" max="779" width="3.625" customWidth="1"/>
    <col min="780" max="780" width="2.625" customWidth="1"/>
    <col min="781" max="781" width="10.625" customWidth="1"/>
    <col min="782" max="782" width="30.75" customWidth="1"/>
    <col min="783" max="783" width="2.625" customWidth="1"/>
    <col min="784" max="784" width="28.875" customWidth="1"/>
    <col min="785" max="785" width="10.75" customWidth="1"/>
    <col min="1025" max="1025" width="2.625" customWidth="1"/>
    <col min="1026" max="1026" width="9.25" customWidth="1"/>
    <col min="1027" max="1027" width="22.125" customWidth="1"/>
    <col min="1028" max="1028" width="6.375" customWidth="1"/>
    <col min="1029" max="1029" width="4" customWidth="1"/>
    <col min="1030" max="1030" width="2.625" customWidth="1"/>
    <col min="1031" max="1031" width="9.25" customWidth="1"/>
    <col min="1032" max="1032" width="22.125" customWidth="1"/>
    <col min="1033" max="1033" width="6.375" customWidth="1"/>
    <col min="1034" max="1034" width="2.625" customWidth="1"/>
    <col min="1035" max="1035" width="3.625" customWidth="1"/>
    <col min="1036" max="1036" width="2.625" customWidth="1"/>
    <col min="1037" max="1037" width="10.625" customWidth="1"/>
    <col min="1038" max="1038" width="30.75" customWidth="1"/>
    <col min="1039" max="1039" width="2.625" customWidth="1"/>
    <col min="1040" max="1040" width="28.875" customWidth="1"/>
    <col min="1041" max="1041" width="10.75" customWidth="1"/>
    <col min="1281" max="1281" width="2.625" customWidth="1"/>
    <col min="1282" max="1282" width="9.25" customWidth="1"/>
    <col min="1283" max="1283" width="22.125" customWidth="1"/>
    <col min="1284" max="1284" width="6.375" customWidth="1"/>
    <col min="1285" max="1285" width="4" customWidth="1"/>
    <col min="1286" max="1286" width="2.625" customWidth="1"/>
    <col min="1287" max="1287" width="9.25" customWidth="1"/>
    <col min="1288" max="1288" width="22.125" customWidth="1"/>
    <col min="1289" max="1289" width="6.375" customWidth="1"/>
    <col min="1290" max="1290" width="2.625" customWidth="1"/>
    <col min="1291" max="1291" width="3.625" customWidth="1"/>
    <col min="1292" max="1292" width="2.625" customWidth="1"/>
    <col min="1293" max="1293" width="10.625" customWidth="1"/>
    <col min="1294" max="1294" width="30.75" customWidth="1"/>
    <col min="1295" max="1295" width="2.625" customWidth="1"/>
    <col min="1296" max="1296" width="28.875" customWidth="1"/>
    <col min="1297" max="1297" width="10.75" customWidth="1"/>
    <col min="1537" max="1537" width="2.625" customWidth="1"/>
    <col min="1538" max="1538" width="9.25" customWidth="1"/>
    <col min="1539" max="1539" width="22.125" customWidth="1"/>
    <col min="1540" max="1540" width="6.375" customWidth="1"/>
    <col min="1541" max="1541" width="4" customWidth="1"/>
    <col min="1542" max="1542" width="2.625" customWidth="1"/>
    <col min="1543" max="1543" width="9.25" customWidth="1"/>
    <col min="1544" max="1544" width="22.125" customWidth="1"/>
    <col min="1545" max="1545" width="6.375" customWidth="1"/>
    <col min="1546" max="1546" width="2.625" customWidth="1"/>
    <col min="1547" max="1547" width="3.625" customWidth="1"/>
    <col min="1548" max="1548" width="2.625" customWidth="1"/>
    <col min="1549" max="1549" width="10.625" customWidth="1"/>
    <col min="1550" max="1550" width="30.75" customWidth="1"/>
    <col min="1551" max="1551" width="2.625" customWidth="1"/>
    <col min="1552" max="1552" width="28.875" customWidth="1"/>
    <col min="1553" max="1553" width="10.75" customWidth="1"/>
    <col min="1793" max="1793" width="2.625" customWidth="1"/>
    <col min="1794" max="1794" width="9.25" customWidth="1"/>
    <col min="1795" max="1795" width="22.125" customWidth="1"/>
    <col min="1796" max="1796" width="6.375" customWidth="1"/>
    <col min="1797" max="1797" width="4" customWidth="1"/>
    <col min="1798" max="1798" width="2.625" customWidth="1"/>
    <col min="1799" max="1799" width="9.25" customWidth="1"/>
    <col min="1800" max="1800" width="22.125" customWidth="1"/>
    <col min="1801" max="1801" width="6.375" customWidth="1"/>
    <col min="1802" max="1802" width="2.625" customWidth="1"/>
    <col min="1803" max="1803" width="3.625" customWidth="1"/>
    <col min="1804" max="1804" width="2.625" customWidth="1"/>
    <col min="1805" max="1805" width="10.625" customWidth="1"/>
    <col min="1806" max="1806" width="30.75" customWidth="1"/>
    <col min="1807" max="1807" width="2.625" customWidth="1"/>
    <col min="1808" max="1808" width="28.875" customWidth="1"/>
    <col min="1809" max="1809" width="10.75" customWidth="1"/>
    <col min="2049" max="2049" width="2.625" customWidth="1"/>
    <col min="2050" max="2050" width="9.25" customWidth="1"/>
    <col min="2051" max="2051" width="22.125" customWidth="1"/>
    <col min="2052" max="2052" width="6.375" customWidth="1"/>
    <col min="2053" max="2053" width="4" customWidth="1"/>
    <col min="2054" max="2054" width="2.625" customWidth="1"/>
    <col min="2055" max="2055" width="9.25" customWidth="1"/>
    <col min="2056" max="2056" width="22.125" customWidth="1"/>
    <col min="2057" max="2057" width="6.375" customWidth="1"/>
    <col min="2058" max="2058" width="2.625" customWidth="1"/>
    <col min="2059" max="2059" width="3.625" customWidth="1"/>
    <col min="2060" max="2060" width="2.625" customWidth="1"/>
    <col min="2061" max="2061" width="10.625" customWidth="1"/>
    <col min="2062" max="2062" width="30.75" customWidth="1"/>
    <col min="2063" max="2063" width="2.625" customWidth="1"/>
    <col min="2064" max="2064" width="28.875" customWidth="1"/>
    <col min="2065" max="2065" width="10.75" customWidth="1"/>
    <col min="2305" max="2305" width="2.625" customWidth="1"/>
    <col min="2306" max="2306" width="9.25" customWidth="1"/>
    <col min="2307" max="2307" width="22.125" customWidth="1"/>
    <col min="2308" max="2308" width="6.375" customWidth="1"/>
    <col min="2309" max="2309" width="4" customWidth="1"/>
    <col min="2310" max="2310" width="2.625" customWidth="1"/>
    <col min="2311" max="2311" width="9.25" customWidth="1"/>
    <col min="2312" max="2312" width="22.125" customWidth="1"/>
    <col min="2313" max="2313" width="6.375" customWidth="1"/>
    <col min="2314" max="2314" width="2.625" customWidth="1"/>
    <col min="2315" max="2315" width="3.625" customWidth="1"/>
    <col min="2316" max="2316" width="2.625" customWidth="1"/>
    <col min="2317" max="2317" width="10.625" customWidth="1"/>
    <col min="2318" max="2318" width="30.75" customWidth="1"/>
    <col min="2319" max="2319" width="2.625" customWidth="1"/>
    <col min="2320" max="2320" width="28.875" customWidth="1"/>
    <col min="2321" max="2321" width="10.75" customWidth="1"/>
    <col min="2561" max="2561" width="2.625" customWidth="1"/>
    <col min="2562" max="2562" width="9.25" customWidth="1"/>
    <col min="2563" max="2563" width="22.125" customWidth="1"/>
    <col min="2564" max="2564" width="6.375" customWidth="1"/>
    <col min="2565" max="2565" width="4" customWidth="1"/>
    <col min="2566" max="2566" width="2.625" customWidth="1"/>
    <col min="2567" max="2567" width="9.25" customWidth="1"/>
    <col min="2568" max="2568" width="22.125" customWidth="1"/>
    <col min="2569" max="2569" width="6.375" customWidth="1"/>
    <col min="2570" max="2570" width="2.625" customWidth="1"/>
    <col min="2571" max="2571" width="3.625" customWidth="1"/>
    <col min="2572" max="2572" width="2.625" customWidth="1"/>
    <col min="2573" max="2573" width="10.625" customWidth="1"/>
    <col min="2574" max="2574" width="30.75" customWidth="1"/>
    <col min="2575" max="2575" width="2.625" customWidth="1"/>
    <col min="2576" max="2576" width="28.875" customWidth="1"/>
    <col min="2577" max="2577" width="10.75" customWidth="1"/>
    <col min="2817" max="2817" width="2.625" customWidth="1"/>
    <col min="2818" max="2818" width="9.25" customWidth="1"/>
    <col min="2819" max="2819" width="22.125" customWidth="1"/>
    <col min="2820" max="2820" width="6.375" customWidth="1"/>
    <col min="2821" max="2821" width="4" customWidth="1"/>
    <col min="2822" max="2822" width="2.625" customWidth="1"/>
    <col min="2823" max="2823" width="9.25" customWidth="1"/>
    <col min="2824" max="2824" width="22.125" customWidth="1"/>
    <col min="2825" max="2825" width="6.375" customWidth="1"/>
    <col min="2826" max="2826" width="2.625" customWidth="1"/>
    <col min="2827" max="2827" width="3.625" customWidth="1"/>
    <col min="2828" max="2828" width="2.625" customWidth="1"/>
    <col min="2829" max="2829" width="10.625" customWidth="1"/>
    <col min="2830" max="2830" width="30.75" customWidth="1"/>
    <col min="2831" max="2831" width="2.625" customWidth="1"/>
    <col min="2832" max="2832" width="28.875" customWidth="1"/>
    <col min="2833" max="2833" width="10.75" customWidth="1"/>
    <col min="3073" max="3073" width="2.625" customWidth="1"/>
    <col min="3074" max="3074" width="9.25" customWidth="1"/>
    <col min="3075" max="3075" width="22.125" customWidth="1"/>
    <col min="3076" max="3076" width="6.375" customWidth="1"/>
    <col min="3077" max="3077" width="4" customWidth="1"/>
    <col min="3078" max="3078" width="2.625" customWidth="1"/>
    <col min="3079" max="3079" width="9.25" customWidth="1"/>
    <col min="3080" max="3080" width="22.125" customWidth="1"/>
    <col min="3081" max="3081" width="6.375" customWidth="1"/>
    <col min="3082" max="3082" width="2.625" customWidth="1"/>
    <col min="3083" max="3083" width="3.625" customWidth="1"/>
    <col min="3084" max="3084" width="2.625" customWidth="1"/>
    <col min="3085" max="3085" width="10.625" customWidth="1"/>
    <col min="3086" max="3086" width="30.75" customWidth="1"/>
    <col min="3087" max="3087" width="2.625" customWidth="1"/>
    <col min="3088" max="3088" width="28.875" customWidth="1"/>
    <col min="3089" max="3089" width="10.75" customWidth="1"/>
    <col min="3329" max="3329" width="2.625" customWidth="1"/>
    <col min="3330" max="3330" width="9.25" customWidth="1"/>
    <col min="3331" max="3331" width="22.125" customWidth="1"/>
    <col min="3332" max="3332" width="6.375" customWidth="1"/>
    <col min="3333" max="3333" width="4" customWidth="1"/>
    <col min="3334" max="3334" width="2.625" customWidth="1"/>
    <col min="3335" max="3335" width="9.25" customWidth="1"/>
    <col min="3336" max="3336" width="22.125" customWidth="1"/>
    <col min="3337" max="3337" width="6.375" customWidth="1"/>
    <col min="3338" max="3338" width="2.625" customWidth="1"/>
    <col min="3339" max="3339" width="3.625" customWidth="1"/>
    <col min="3340" max="3340" width="2.625" customWidth="1"/>
    <col min="3341" max="3341" width="10.625" customWidth="1"/>
    <col min="3342" max="3342" width="30.75" customWidth="1"/>
    <col min="3343" max="3343" width="2.625" customWidth="1"/>
    <col min="3344" max="3344" width="28.875" customWidth="1"/>
    <col min="3345" max="3345" width="10.75" customWidth="1"/>
    <col min="3585" max="3585" width="2.625" customWidth="1"/>
    <col min="3586" max="3586" width="9.25" customWidth="1"/>
    <col min="3587" max="3587" width="22.125" customWidth="1"/>
    <col min="3588" max="3588" width="6.375" customWidth="1"/>
    <col min="3589" max="3589" width="4" customWidth="1"/>
    <col min="3590" max="3590" width="2.625" customWidth="1"/>
    <col min="3591" max="3591" width="9.25" customWidth="1"/>
    <col min="3592" max="3592" width="22.125" customWidth="1"/>
    <col min="3593" max="3593" width="6.375" customWidth="1"/>
    <col min="3594" max="3594" width="2.625" customWidth="1"/>
    <col min="3595" max="3595" width="3.625" customWidth="1"/>
    <col min="3596" max="3596" width="2.625" customWidth="1"/>
    <col min="3597" max="3597" width="10.625" customWidth="1"/>
    <col min="3598" max="3598" width="30.75" customWidth="1"/>
    <col min="3599" max="3599" width="2.625" customWidth="1"/>
    <col min="3600" max="3600" width="28.875" customWidth="1"/>
    <col min="3601" max="3601" width="10.75" customWidth="1"/>
    <col min="3841" max="3841" width="2.625" customWidth="1"/>
    <col min="3842" max="3842" width="9.25" customWidth="1"/>
    <col min="3843" max="3843" width="22.125" customWidth="1"/>
    <col min="3844" max="3844" width="6.375" customWidth="1"/>
    <col min="3845" max="3845" width="4" customWidth="1"/>
    <col min="3846" max="3846" width="2.625" customWidth="1"/>
    <col min="3847" max="3847" width="9.25" customWidth="1"/>
    <col min="3848" max="3848" width="22.125" customWidth="1"/>
    <col min="3849" max="3849" width="6.375" customWidth="1"/>
    <col min="3850" max="3850" width="2.625" customWidth="1"/>
    <col min="3851" max="3851" width="3.625" customWidth="1"/>
    <col min="3852" max="3852" width="2.625" customWidth="1"/>
    <col min="3853" max="3853" width="10.625" customWidth="1"/>
    <col min="3854" max="3854" width="30.75" customWidth="1"/>
    <col min="3855" max="3855" width="2.625" customWidth="1"/>
    <col min="3856" max="3856" width="28.875" customWidth="1"/>
    <col min="3857" max="3857" width="10.75" customWidth="1"/>
    <col min="4097" max="4097" width="2.625" customWidth="1"/>
    <col min="4098" max="4098" width="9.25" customWidth="1"/>
    <col min="4099" max="4099" width="22.125" customWidth="1"/>
    <col min="4100" max="4100" width="6.375" customWidth="1"/>
    <col min="4101" max="4101" width="4" customWidth="1"/>
    <col min="4102" max="4102" width="2.625" customWidth="1"/>
    <col min="4103" max="4103" width="9.25" customWidth="1"/>
    <col min="4104" max="4104" width="22.125" customWidth="1"/>
    <col min="4105" max="4105" width="6.375" customWidth="1"/>
    <col min="4106" max="4106" width="2.625" customWidth="1"/>
    <col min="4107" max="4107" width="3.625" customWidth="1"/>
    <col min="4108" max="4108" width="2.625" customWidth="1"/>
    <col min="4109" max="4109" width="10.625" customWidth="1"/>
    <col min="4110" max="4110" width="30.75" customWidth="1"/>
    <col min="4111" max="4111" width="2.625" customWidth="1"/>
    <col min="4112" max="4112" width="28.875" customWidth="1"/>
    <col min="4113" max="4113" width="10.75" customWidth="1"/>
    <col min="4353" max="4353" width="2.625" customWidth="1"/>
    <col min="4354" max="4354" width="9.25" customWidth="1"/>
    <col min="4355" max="4355" width="22.125" customWidth="1"/>
    <col min="4356" max="4356" width="6.375" customWidth="1"/>
    <col min="4357" max="4357" width="4" customWidth="1"/>
    <col min="4358" max="4358" width="2.625" customWidth="1"/>
    <col min="4359" max="4359" width="9.25" customWidth="1"/>
    <col min="4360" max="4360" width="22.125" customWidth="1"/>
    <col min="4361" max="4361" width="6.375" customWidth="1"/>
    <col min="4362" max="4362" width="2.625" customWidth="1"/>
    <col min="4363" max="4363" width="3.625" customWidth="1"/>
    <col min="4364" max="4364" width="2.625" customWidth="1"/>
    <col min="4365" max="4365" width="10.625" customWidth="1"/>
    <col min="4366" max="4366" width="30.75" customWidth="1"/>
    <col min="4367" max="4367" width="2.625" customWidth="1"/>
    <col min="4368" max="4368" width="28.875" customWidth="1"/>
    <col min="4369" max="4369" width="10.75" customWidth="1"/>
    <col min="4609" max="4609" width="2.625" customWidth="1"/>
    <col min="4610" max="4610" width="9.25" customWidth="1"/>
    <col min="4611" max="4611" width="22.125" customWidth="1"/>
    <col min="4612" max="4612" width="6.375" customWidth="1"/>
    <col min="4613" max="4613" width="4" customWidth="1"/>
    <col min="4614" max="4614" width="2.625" customWidth="1"/>
    <col min="4615" max="4615" width="9.25" customWidth="1"/>
    <col min="4616" max="4616" width="22.125" customWidth="1"/>
    <col min="4617" max="4617" width="6.375" customWidth="1"/>
    <col min="4618" max="4618" width="2.625" customWidth="1"/>
    <col min="4619" max="4619" width="3.625" customWidth="1"/>
    <col min="4620" max="4620" width="2.625" customWidth="1"/>
    <col min="4621" max="4621" width="10.625" customWidth="1"/>
    <col min="4622" max="4622" width="30.75" customWidth="1"/>
    <col min="4623" max="4623" width="2.625" customWidth="1"/>
    <col min="4624" max="4624" width="28.875" customWidth="1"/>
    <col min="4625" max="4625" width="10.75" customWidth="1"/>
    <col min="4865" max="4865" width="2.625" customWidth="1"/>
    <col min="4866" max="4866" width="9.25" customWidth="1"/>
    <col min="4867" max="4867" width="22.125" customWidth="1"/>
    <col min="4868" max="4868" width="6.375" customWidth="1"/>
    <col min="4869" max="4869" width="4" customWidth="1"/>
    <col min="4870" max="4870" width="2.625" customWidth="1"/>
    <col min="4871" max="4871" width="9.25" customWidth="1"/>
    <col min="4872" max="4872" width="22.125" customWidth="1"/>
    <col min="4873" max="4873" width="6.375" customWidth="1"/>
    <col min="4874" max="4874" width="2.625" customWidth="1"/>
    <col min="4875" max="4875" width="3.625" customWidth="1"/>
    <col min="4876" max="4876" width="2.625" customWidth="1"/>
    <col min="4877" max="4877" width="10.625" customWidth="1"/>
    <col min="4878" max="4878" width="30.75" customWidth="1"/>
    <col min="4879" max="4879" width="2.625" customWidth="1"/>
    <col min="4880" max="4880" width="28.875" customWidth="1"/>
    <col min="4881" max="4881" width="10.75" customWidth="1"/>
    <col min="5121" max="5121" width="2.625" customWidth="1"/>
    <col min="5122" max="5122" width="9.25" customWidth="1"/>
    <col min="5123" max="5123" width="22.125" customWidth="1"/>
    <col min="5124" max="5124" width="6.375" customWidth="1"/>
    <col min="5125" max="5125" width="4" customWidth="1"/>
    <col min="5126" max="5126" width="2.625" customWidth="1"/>
    <col min="5127" max="5127" width="9.25" customWidth="1"/>
    <col min="5128" max="5128" width="22.125" customWidth="1"/>
    <col min="5129" max="5129" width="6.375" customWidth="1"/>
    <col min="5130" max="5130" width="2.625" customWidth="1"/>
    <col min="5131" max="5131" width="3.625" customWidth="1"/>
    <col min="5132" max="5132" width="2.625" customWidth="1"/>
    <col min="5133" max="5133" width="10.625" customWidth="1"/>
    <col min="5134" max="5134" width="30.75" customWidth="1"/>
    <col min="5135" max="5135" width="2.625" customWidth="1"/>
    <col min="5136" max="5136" width="28.875" customWidth="1"/>
    <col min="5137" max="5137" width="10.75" customWidth="1"/>
    <col min="5377" max="5377" width="2.625" customWidth="1"/>
    <col min="5378" max="5378" width="9.25" customWidth="1"/>
    <col min="5379" max="5379" width="22.125" customWidth="1"/>
    <col min="5380" max="5380" width="6.375" customWidth="1"/>
    <col min="5381" max="5381" width="4" customWidth="1"/>
    <col min="5382" max="5382" width="2.625" customWidth="1"/>
    <col min="5383" max="5383" width="9.25" customWidth="1"/>
    <col min="5384" max="5384" width="22.125" customWidth="1"/>
    <col min="5385" max="5385" width="6.375" customWidth="1"/>
    <col min="5386" max="5386" width="2.625" customWidth="1"/>
    <col min="5387" max="5387" width="3.625" customWidth="1"/>
    <col min="5388" max="5388" width="2.625" customWidth="1"/>
    <col min="5389" max="5389" width="10.625" customWidth="1"/>
    <col min="5390" max="5390" width="30.75" customWidth="1"/>
    <col min="5391" max="5391" width="2.625" customWidth="1"/>
    <col min="5392" max="5392" width="28.875" customWidth="1"/>
    <col min="5393" max="5393" width="10.75" customWidth="1"/>
    <col min="5633" max="5633" width="2.625" customWidth="1"/>
    <col min="5634" max="5634" width="9.25" customWidth="1"/>
    <col min="5635" max="5635" width="22.125" customWidth="1"/>
    <col min="5636" max="5636" width="6.375" customWidth="1"/>
    <col min="5637" max="5637" width="4" customWidth="1"/>
    <col min="5638" max="5638" width="2.625" customWidth="1"/>
    <col min="5639" max="5639" width="9.25" customWidth="1"/>
    <col min="5640" max="5640" width="22.125" customWidth="1"/>
    <col min="5641" max="5641" width="6.375" customWidth="1"/>
    <col min="5642" max="5642" width="2.625" customWidth="1"/>
    <col min="5643" max="5643" width="3.625" customWidth="1"/>
    <col min="5644" max="5644" width="2.625" customWidth="1"/>
    <col min="5645" max="5645" width="10.625" customWidth="1"/>
    <col min="5646" max="5646" width="30.75" customWidth="1"/>
    <col min="5647" max="5647" width="2.625" customWidth="1"/>
    <col min="5648" max="5648" width="28.875" customWidth="1"/>
    <col min="5649" max="5649" width="10.75" customWidth="1"/>
    <col min="5889" max="5889" width="2.625" customWidth="1"/>
    <col min="5890" max="5890" width="9.25" customWidth="1"/>
    <col min="5891" max="5891" width="22.125" customWidth="1"/>
    <col min="5892" max="5892" width="6.375" customWidth="1"/>
    <col min="5893" max="5893" width="4" customWidth="1"/>
    <col min="5894" max="5894" width="2.625" customWidth="1"/>
    <col min="5895" max="5895" width="9.25" customWidth="1"/>
    <col min="5896" max="5896" width="22.125" customWidth="1"/>
    <col min="5897" max="5897" width="6.375" customWidth="1"/>
    <col min="5898" max="5898" width="2.625" customWidth="1"/>
    <col min="5899" max="5899" width="3.625" customWidth="1"/>
    <col min="5900" max="5900" width="2.625" customWidth="1"/>
    <col min="5901" max="5901" width="10.625" customWidth="1"/>
    <col min="5902" max="5902" width="30.75" customWidth="1"/>
    <col min="5903" max="5903" width="2.625" customWidth="1"/>
    <col min="5904" max="5904" width="28.875" customWidth="1"/>
    <col min="5905" max="5905" width="10.75" customWidth="1"/>
    <col min="6145" max="6145" width="2.625" customWidth="1"/>
    <col min="6146" max="6146" width="9.25" customWidth="1"/>
    <col min="6147" max="6147" width="22.125" customWidth="1"/>
    <col min="6148" max="6148" width="6.375" customWidth="1"/>
    <col min="6149" max="6149" width="4" customWidth="1"/>
    <col min="6150" max="6150" width="2.625" customWidth="1"/>
    <col min="6151" max="6151" width="9.25" customWidth="1"/>
    <col min="6152" max="6152" width="22.125" customWidth="1"/>
    <col min="6153" max="6153" width="6.375" customWidth="1"/>
    <col min="6154" max="6154" width="2.625" customWidth="1"/>
    <col min="6155" max="6155" width="3.625" customWidth="1"/>
    <col min="6156" max="6156" width="2.625" customWidth="1"/>
    <col min="6157" max="6157" width="10.625" customWidth="1"/>
    <col min="6158" max="6158" width="30.75" customWidth="1"/>
    <col min="6159" max="6159" width="2.625" customWidth="1"/>
    <col min="6160" max="6160" width="28.875" customWidth="1"/>
    <col min="6161" max="6161" width="10.75" customWidth="1"/>
    <col min="6401" max="6401" width="2.625" customWidth="1"/>
    <col min="6402" max="6402" width="9.25" customWidth="1"/>
    <col min="6403" max="6403" width="22.125" customWidth="1"/>
    <col min="6404" max="6404" width="6.375" customWidth="1"/>
    <col min="6405" max="6405" width="4" customWidth="1"/>
    <col min="6406" max="6406" width="2.625" customWidth="1"/>
    <col min="6407" max="6407" width="9.25" customWidth="1"/>
    <col min="6408" max="6408" width="22.125" customWidth="1"/>
    <col min="6409" max="6409" width="6.375" customWidth="1"/>
    <col min="6410" max="6410" width="2.625" customWidth="1"/>
    <col min="6411" max="6411" width="3.625" customWidth="1"/>
    <col min="6412" max="6412" width="2.625" customWidth="1"/>
    <col min="6413" max="6413" width="10.625" customWidth="1"/>
    <col min="6414" max="6414" width="30.75" customWidth="1"/>
    <col min="6415" max="6415" width="2.625" customWidth="1"/>
    <col min="6416" max="6416" width="28.875" customWidth="1"/>
    <col min="6417" max="6417" width="10.75" customWidth="1"/>
    <col min="6657" max="6657" width="2.625" customWidth="1"/>
    <col min="6658" max="6658" width="9.25" customWidth="1"/>
    <col min="6659" max="6659" width="22.125" customWidth="1"/>
    <col min="6660" max="6660" width="6.375" customWidth="1"/>
    <col min="6661" max="6661" width="4" customWidth="1"/>
    <col min="6662" max="6662" width="2.625" customWidth="1"/>
    <col min="6663" max="6663" width="9.25" customWidth="1"/>
    <col min="6664" max="6664" width="22.125" customWidth="1"/>
    <col min="6665" max="6665" width="6.375" customWidth="1"/>
    <col min="6666" max="6666" width="2.625" customWidth="1"/>
    <col min="6667" max="6667" width="3.625" customWidth="1"/>
    <col min="6668" max="6668" width="2.625" customWidth="1"/>
    <col min="6669" max="6669" width="10.625" customWidth="1"/>
    <col min="6670" max="6670" width="30.75" customWidth="1"/>
    <col min="6671" max="6671" width="2.625" customWidth="1"/>
    <col min="6672" max="6672" width="28.875" customWidth="1"/>
    <col min="6673" max="6673" width="10.75" customWidth="1"/>
    <col min="6913" max="6913" width="2.625" customWidth="1"/>
    <col min="6914" max="6914" width="9.25" customWidth="1"/>
    <col min="6915" max="6915" width="22.125" customWidth="1"/>
    <col min="6916" max="6916" width="6.375" customWidth="1"/>
    <col min="6917" max="6917" width="4" customWidth="1"/>
    <col min="6918" max="6918" width="2.625" customWidth="1"/>
    <col min="6919" max="6919" width="9.25" customWidth="1"/>
    <col min="6920" max="6920" width="22.125" customWidth="1"/>
    <col min="6921" max="6921" width="6.375" customWidth="1"/>
    <col min="6922" max="6922" width="2.625" customWidth="1"/>
    <col min="6923" max="6923" width="3.625" customWidth="1"/>
    <col min="6924" max="6924" width="2.625" customWidth="1"/>
    <col min="6925" max="6925" width="10.625" customWidth="1"/>
    <col min="6926" max="6926" width="30.75" customWidth="1"/>
    <col min="6927" max="6927" width="2.625" customWidth="1"/>
    <col min="6928" max="6928" width="28.875" customWidth="1"/>
    <col min="6929" max="6929" width="10.75" customWidth="1"/>
    <col min="7169" max="7169" width="2.625" customWidth="1"/>
    <col min="7170" max="7170" width="9.25" customWidth="1"/>
    <col min="7171" max="7171" width="22.125" customWidth="1"/>
    <col min="7172" max="7172" width="6.375" customWidth="1"/>
    <col min="7173" max="7173" width="4" customWidth="1"/>
    <col min="7174" max="7174" width="2.625" customWidth="1"/>
    <col min="7175" max="7175" width="9.25" customWidth="1"/>
    <col min="7176" max="7176" width="22.125" customWidth="1"/>
    <col min="7177" max="7177" width="6.375" customWidth="1"/>
    <col min="7178" max="7178" width="2.625" customWidth="1"/>
    <col min="7179" max="7179" width="3.625" customWidth="1"/>
    <col min="7180" max="7180" width="2.625" customWidth="1"/>
    <col min="7181" max="7181" width="10.625" customWidth="1"/>
    <col min="7182" max="7182" width="30.75" customWidth="1"/>
    <col min="7183" max="7183" width="2.625" customWidth="1"/>
    <col min="7184" max="7184" width="28.875" customWidth="1"/>
    <col min="7185" max="7185" width="10.75" customWidth="1"/>
    <col min="7425" max="7425" width="2.625" customWidth="1"/>
    <col min="7426" max="7426" width="9.25" customWidth="1"/>
    <col min="7427" max="7427" width="22.125" customWidth="1"/>
    <col min="7428" max="7428" width="6.375" customWidth="1"/>
    <col min="7429" max="7429" width="4" customWidth="1"/>
    <col min="7430" max="7430" width="2.625" customWidth="1"/>
    <col min="7431" max="7431" width="9.25" customWidth="1"/>
    <col min="7432" max="7432" width="22.125" customWidth="1"/>
    <col min="7433" max="7433" width="6.375" customWidth="1"/>
    <col min="7434" max="7434" width="2.625" customWidth="1"/>
    <col min="7435" max="7435" width="3.625" customWidth="1"/>
    <col min="7436" max="7436" width="2.625" customWidth="1"/>
    <col min="7437" max="7437" width="10.625" customWidth="1"/>
    <col min="7438" max="7438" width="30.75" customWidth="1"/>
    <col min="7439" max="7439" width="2.625" customWidth="1"/>
    <col min="7440" max="7440" width="28.875" customWidth="1"/>
    <col min="7441" max="7441" width="10.75" customWidth="1"/>
    <col min="7681" max="7681" width="2.625" customWidth="1"/>
    <col min="7682" max="7682" width="9.25" customWidth="1"/>
    <col min="7683" max="7683" width="22.125" customWidth="1"/>
    <col min="7684" max="7684" width="6.375" customWidth="1"/>
    <col min="7685" max="7685" width="4" customWidth="1"/>
    <col min="7686" max="7686" width="2.625" customWidth="1"/>
    <col min="7687" max="7687" width="9.25" customWidth="1"/>
    <col min="7688" max="7688" width="22.125" customWidth="1"/>
    <col min="7689" max="7689" width="6.375" customWidth="1"/>
    <col min="7690" max="7690" width="2.625" customWidth="1"/>
    <col min="7691" max="7691" width="3.625" customWidth="1"/>
    <col min="7692" max="7692" width="2.625" customWidth="1"/>
    <col min="7693" max="7693" width="10.625" customWidth="1"/>
    <col min="7694" max="7694" width="30.75" customWidth="1"/>
    <col min="7695" max="7695" width="2.625" customWidth="1"/>
    <col min="7696" max="7696" width="28.875" customWidth="1"/>
    <col min="7697" max="7697" width="10.75" customWidth="1"/>
    <col min="7937" max="7937" width="2.625" customWidth="1"/>
    <col min="7938" max="7938" width="9.25" customWidth="1"/>
    <col min="7939" max="7939" width="22.125" customWidth="1"/>
    <col min="7940" max="7940" width="6.375" customWidth="1"/>
    <col min="7941" max="7941" width="4" customWidth="1"/>
    <col min="7942" max="7942" width="2.625" customWidth="1"/>
    <col min="7943" max="7943" width="9.25" customWidth="1"/>
    <col min="7944" max="7944" width="22.125" customWidth="1"/>
    <col min="7945" max="7945" width="6.375" customWidth="1"/>
    <col min="7946" max="7946" width="2.625" customWidth="1"/>
    <col min="7947" max="7947" width="3.625" customWidth="1"/>
    <col min="7948" max="7948" width="2.625" customWidth="1"/>
    <col min="7949" max="7949" width="10.625" customWidth="1"/>
    <col min="7950" max="7950" width="30.75" customWidth="1"/>
    <col min="7951" max="7951" width="2.625" customWidth="1"/>
    <col min="7952" max="7952" width="28.875" customWidth="1"/>
    <col min="7953" max="7953" width="10.75" customWidth="1"/>
    <col min="8193" max="8193" width="2.625" customWidth="1"/>
    <col min="8194" max="8194" width="9.25" customWidth="1"/>
    <col min="8195" max="8195" width="22.125" customWidth="1"/>
    <col min="8196" max="8196" width="6.375" customWidth="1"/>
    <col min="8197" max="8197" width="4" customWidth="1"/>
    <col min="8198" max="8198" width="2.625" customWidth="1"/>
    <col min="8199" max="8199" width="9.25" customWidth="1"/>
    <col min="8200" max="8200" width="22.125" customWidth="1"/>
    <col min="8201" max="8201" width="6.375" customWidth="1"/>
    <col min="8202" max="8202" width="2.625" customWidth="1"/>
    <col min="8203" max="8203" width="3.625" customWidth="1"/>
    <col min="8204" max="8204" width="2.625" customWidth="1"/>
    <col min="8205" max="8205" width="10.625" customWidth="1"/>
    <col min="8206" max="8206" width="30.75" customWidth="1"/>
    <col min="8207" max="8207" width="2.625" customWidth="1"/>
    <col min="8208" max="8208" width="28.875" customWidth="1"/>
    <col min="8209" max="8209" width="10.75" customWidth="1"/>
    <col min="8449" max="8449" width="2.625" customWidth="1"/>
    <col min="8450" max="8450" width="9.25" customWidth="1"/>
    <col min="8451" max="8451" width="22.125" customWidth="1"/>
    <col min="8452" max="8452" width="6.375" customWidth="1"/>
    <col min="8453" max="8453" width="4" customWidth="1"/>
    <col min="8454" max="8454" width="2.625" customWidth="1"/>
    <col min="8455" max="8455" width="9.25" customWidth="1"/>
    <col min="8456" max="8456" width="22.125" customWidth="1"/>
    <col min="8457" max="8457" width="6.375" customWidth="1"/>
    <col min="8458" max="8458" width="2.625" customWidth="1"/>
    <col min="8459" max="8459" width="3.625" customWidth="1"/>
    <col min="8460" max="8460" width="2.625" customWidth="1"/>
    <col min="8461" max="8461" width="10.625" customWidth="1"/>
    <col min="8462" max="8462" width="30.75" customWidth="1"/>
    <col min="8463" max="8463" width="2.625" customWidth="1"/>
    <col min="8464" max="8464" width="28.875" customWidth="1"/>
    <col min="8465" max="8465" width="10.75" customWidth="1"/>
    <col min="8705" max="8705" width="2.625" customWidth="1"/>
    <col min="8706" max="8706" width="9.25" customWidth="1"/>
    <col min="8707" max="8707" width="22.125" customWidth="1"/>
    <col min="8708" max="8708" width="6.375" customWidth="1"/>
    <col min="8709" max="8709" width="4" customWidth="1"/>
    <col min="8710" max="8710" width="2.625" customWidth="1"/>
    <col min="8711" max="8711" width="9.25" customWidth="1"/>
    <col min="8712" max="8712" width="22.125" customWidth="1"/>
    <col min="8713" max="8713" width="6.375" customWidth="1"/>
    <col min="8714" max="8714" width="2.625" customWidth="1"/>
    <col min="8715" max="8715" width="3.625" customWidth="1"/>
    <col min="8716" max="8716" width="2.625" customWidth="1"/>
    <col min="8717" max="8717" width="10.625" customWidth="1"/>
    <col min="8718" max="8718" width="30.75" customWidth="1"/>
    <col min="8719" max="8719" width="2.625" customWidth="1"/>
    <col min="8720" max="8720" width="28.875" customWidth="1"/>
    <col min="8721" max="8721" width="10.75" customWidth="1"/>
    <col min="8961" max="8961" width="2.625" customWidth="1"/>
    <col min="8962" max="8962" width="9.25" customWidth="1"/>
    <col min="8963" max="8963" width="22.125" customWidth="1"/>
    <col min="8964" max="8964" width="6.375" customWidth="1"/>
    <col min="8965" max="8965" width="4" customWidth="1"/>
    <col min="8966" max="8966" width="2.625" customWidth="1"/>
    <col min="8967" max="8967" width="9.25" customWidth="1"/>
    <col min="8968" max="8968" width="22.125" customWidth="1"/>
    <col min="8969" max="8969" width="6.375" customWidth="1"/>
    <col min="8970" max="8970" width="2.625" customWidth="1"/>
    <col min="8971" max="8971" width="3.625" customWidth="1"/>
    <col min="8972" max="8972" width="2.625" customWidth="1"/>
    <col min="8973" max="8973" width="10.625" customWidth="1"/>
    <col min="8974" max="8974" width="30.75" customWidth="1"/>
    <col min="8975" max="8975" width="2.625" customWidth="1"/>
    <col min="8976" max="8976" width="28.875" customWidth="1"/>
    <col min="8977" max="8977" width="10.75" customWidth="1"/>
    <col min="9217" max="9217" width="2.625" customWidth="1"/>
    <col min="9218" max="9218" width="9.25" customWidth="1"/>
    <col min="9219" max="9219" width="22.125" customWidth="1"/>
    <col min="9220" max="9220" width="6.375" customWidth="1"/>
    <col min="9221" max="9221" width="4" customWidth="1"/>
    <col min="9222" max="9222" width="2.625" customWidth="1"/>
    <col min="9223" max="9223" width="9.25" customWidth="1"/>
    <col min="9224" max="9224" width="22.125" customWidth="1"/>
    <col min="9225" max="9225" width="6.375" customWidth="1"/>
    <col min="9226" max="9226" width="2.625" customWidth="1"/>
    <col min="9227" max="9227" width="3.625" customWidth="1"/>
    <col min="9228" max="9228" width="2.625" customWidth="1"/>
    <col min="9229" max="9229" width="10.625" customWidth="1"/>
    <col min="9230" max="9230" width="30.75" customWidth="1"/>
    <col min="9231" max="9231" width="2.625" customWidth="1"/>
    <col min="9232" max="9232" width="28.875" customWidth="1"/>
    <col min="9233" max="9233" width="10.75" customWidth="1"/>
    <col min="9473" max="9473" width="2.625" customWidth="1"/>
    <col min="9474" max="9474" width="9.25" customWidth="1"/>
    <col min="9475" max="9475" width="22.125" customWidth="1"/>
    <col min="9476" max="9476" width="6.375" customWidth="1"/>
    <col min="9477" max="9477" width="4" customWidth="1"/>
    <col min="9478" max="9478" width="2.625" customWidth="1"/>
    <col min="9479" max="9479" width="9.25" customWidth="1"/>
    <col min="9480" max="9480" width="22.125" customWidth="1"/>
    <col min="9481" max="9481" width="6.375" customWidth="1"/>
    <col min="9482" max="9482" width="2.625" customWidth="1"/>
    <col min="9483" max="9483" width="3.625" customWidth="1"/>
    <col min="9484" max="9484" width="2.625" customWidth="1"/>
    <col min="9485" max="9485" width="10.625" customWidth="1"/>
    <col min="9486" max="9486" width="30.75" customWidth="1"/>
    <col min="9487" max="9487" width="2.625" customWidth="1"/>
    <col min="9488" max="9488" width="28.875" customWidth="1"/>
    <col min="9489" max="9489" width="10.75" customWidth="1"/>
    <col min="9729" max="9729" width="2.625" customWidth="1"/>
    <col min="9730" max="9730" width="9.25" customWidth="1"/>
    <col min="9731" max="9731" width="22.125" customWidth="1"/>
    <col min="9732" max="9732" width="6.375" customWidth="1"/>
    <col min="9733" max="9733" width="4" customWidth="1"/>
    <col min="9734" max="9734" width="2.625" customWidth="1"/>
    <col min="9735" max="9735" width="9.25" customWidth="1"/>
    <col min="9736" max="9736" width="22.125" customWidth="1"/>
    <col min="9737" max="9737" width="6.375" customWidth="1"/>
    <col min="9738" max="9738" width="2.625" customWidth="1"/>
    <col min="9739" max="9739" width="3.625" customWidth="1"/>
    <col min="9740" max="9740" width="2.625" customWidth="1"/>
    <col min="9741" max="9741" width="10.625" customWidth="1"/>
    <col min="9742" max="9742" width="30.75" customWidth="1"/>
    <col min="9743" max="9743" width="2.625" customWidth="1"/>
    <col min="9744" max="9744" width="28.875" customWidth="1"/>
    <col min="9745" max="9745" width="10.75" customWidth="1"/>
    <col min="9985" max="9985" width="2.625" customWidth="1"/>
    <col min="9986" max="9986" width="9.25" customWidth="1"/>
    <col min="9987" max="9987" width="22.125" customWidth="1"/>
    <col min="9988" max="9988" width="6.375" customWidth="1"/>
    <col min="9989" max="9989" width="4" customWidth="1"/>
    <col min="9990" max="9990" width="2.625" customWidth="1"/>
    <col min="9991" max="9991" width="9.25" customWidth="1"/>
    <col min="9992" max="9992" width="22.125" customWidth="1"/>
    <col min="9993" max="9993" width="6.375" customWidth="1"/>
    <col min="9994" max="9994" width="2.625" customWidth="1"/>
    <col min="9995" max="9995" width="3.625" customWidth="1"/>
    <col min="9996" max="9996" width="2.625" customWidth="1"/>
    <col min="9997" max="9997" width="10.625" customWidth="1"/>
    <col min="9998" max="9998" width="30.75" customWidth="1"/>
    <col min="9999" max="9999" width="2.625" customWidth="1"/>
    <col min="10000" max="10000" width="28.875" customWidth="1"/>
    <col min="10001" max="10001" width="10.75" customWidth="1"/>
    <col min="10241" max="10241" width="2.625" customWidth="1"/>
    <col min="10242" max="10242" width="9.25" customWidth="1"/>
    <col min="10243" max="10243" width="22.125" customWidth="1"/>
    <col min="10244" max="10244" width="6.375" customWidth="1"/>
    <col min="10245" max="10245" width="4" customWidth="1"/>
    <col min="10246" max="10246" width="2.625" customWidth="1"/>
    <col min="10247" max="10247" width="9.25" customWidth="1"/>
    <col min="10248" max="10248" width="22.125" customWidth="1"/>
    <col min="10249" max="10249" width="6.375" customWidth="1"/>
    <col min="10250" max="10250" width="2.625" customWidth="1"/>
    <col min="10251" max="10251" width="3.625" customWidth="1"/>
    <col min="10252" max="10252" width="2.625" customWidth="1"/>
    <col min="10253" max="10253" width="10.625" customWidth="1"/>
    <col min="10254" max="10254" width="30.75" customWidth="1"/>
    <col min="10255" max="10255" width="2.625" customWidth="1"/>
    <col min="10256" max="10256" width="28.875" customWidth="1"/>
    <col min="10257" max="10257" width="10.75" customWidth="1"/>
    <col min="10497" max="10497" width="2.625" customWidth="1"/>
    <col min="10498" max="10498" width="9.25" customWidth="1"/>
    <col min="10499" max="10499" width="22.125" customWidth="1"/>
    <col min="10500" max="10500" width="6.375" customWidth="1"/>
    <col min="10501" max="10501" width="4" customWidth="1"/>
    <col min="10502" max="10502" width="2.625" customWidth="1"/>
    <col min="10503" max="10503" width="9.25" customWidth="1"/>
    <col min="10504" max="10504" width="22.125" customWidth="1"/>
    <col min="10505" max="10505" width="6.375" customWidth="1"/>
    <col min="10506" max="10506" width="2.625" customWidth="1"/>
    <col min="10507" max="10507" width="3.625" customWidth="1"/>
    <col min="10508" max="10508" width="2.625" customWidth="1"/>
    <col min="10509" max="10509" width="10.625" customWidth="1"/>
    <col min="10510" max="10510" width="30.75" customWidth="1"/>
    <col min="10511" max="10511" width="2.625" customWidth="1"/>
    <col min="10512" max="10512" width="28.875" customWidth="1"/>
    <col min="10513" max="10513" width="10.75" customWidth="1"/>
    <col min="10753" max="10753" width="2.625" customWidth="1"/>
    <col min="10754" max="10754" width="9.25" customWidth="1"/>
    <col min="10755" max="10755" width="22.125" customWidth="1"/>
    <col min="10756" max="10756" width="6.375" customWidth="1"/>
    <col min="10757" max="10757" width="4" customWidth="1"/>
    <col min="10758" max="10758" width="2.625" customWidth="1"/>
    <col min="10759" max="10759" width="9.25" customWidth="1"/>
    <col min="10760" max="10760" width="22.125" customWidth="1"/>
    <col min="10761" max="10761" width="6.375" customWidth="1"/>
    <col min="10762" max="10762" width="2.625" customWidth="1"/>
    <col min="10763" max="10763" width="3.625" customWidth="1"/>
    <col min="10764" max="10764" width="2.625" customWidth="1"/>
    <col min="10765" max="10765" width="10.625" customWidth="1"/>
    <col min="10766" max="10766" width="30.75" customWidth="1"/>
    <col min="10767" max="10767" width="2.625" customWidth="1"/>
    <col min="10768" max="10768" width="28.875" customWidth="1"/>
    <col min="10769" max="10769" width="10.75" customWidth="1"/>
    <col min="11009" max="11009" width="2.625" customWidth="1"/>
    <col min="11010" max="11010" width="9.25" customWidth="1"/>
    <col min="11011" max="11011" width="22.125" customWidth="1"/>
    <col min="11012" max="11012" width="6.375" customWidth="1"/>
    <col min="11013" max="11013" width="4" customWidth="1"/>
    <col min="11014" max="11014" width="2.625" customWidth="1"/>
    <col min="11015" max="11015" width="9.25" customWidth="1"/>
    <col min="11016" max="11016" width="22.125" customWidth="1"/>
    <col min="11017" max="11017" width="6.375" customWidth="1"/>
    <col min="11018" max="11018" width="2.625" customWidth="1"/>
    <col min="11019" max="11019" width="3.625" customWidth="1"/>
    <col min="11020" max="11020" width="2.625" customWidth="1"/>
    <col min="11021" max="11021" width="10.625" customWidth="1"/>
    <col min="11022" max="11022" width="30.75" customWidth="1"/>
    <col min="11023" max="11023" width="2.625" customWidth="1"/>
    <col min="11024" max="11024" width="28.875" customWidth="1"/>
    <col min="11025" max="11025" width="10.75" customWidth="1"/>
    <col min="11265" max="11265" width="2.625" customWidth="1"/>
    <col min="11266" max="11266" width="9.25" customWidth="1"/>
    <col min="11267" max="11267" width="22.125" customWidth="1"/>
    <col min="11268" max="11268" width="6.375" customWidth="1"/>
    <col min="11269" max="11269" width="4" customWidth="1"/>
    <col min="11270" max="11270" width="2.625" customWidth="1"/>
    <col min="11271" max="11271" width="9.25" customWidth="1"/>
    <col min="11272" max="11272" width="22.125" customWidth="1"/>
    <col min="11273" max="11273" width="6.375" customWidth="1"/>
    <col min="11274" max="11274" width="2.625" customWidth="1"/>
    <col min="11275" max="11275" width="3.625" customWidth="1"/>
    <col min="11276" max="11276" width="2.625" customWidth="1"/>
    <col min="11277" max="11277" width="10.625" customWidth="1"/>
    <col min="11278" max="11278" width="30.75" customWidth="1"/>
    <col min="11279" max="11279" width="2.625" customWidth="1"/>
    <col min="11280" max="11280" width="28.875" customWidth="1"/>
    <col min="11281" max="11281" width="10.75" customWidth="1"/>
    <col min="11521" max="11521" width="2.625" customWidth="1"/>
    <col min="11522" max="11522" width="9.25" customWidth="1"/>
    <col min="11523" max="11523" width="22.125" customWidth="1"/>
    <col min="11524" max="11524" width="6.375" customWidth="1"/>
    <col min="11525" max="11525" width="4" customWidth="1"/>
    <col min="11526" max="11526" width="2.625" customWidth="1"/>
    <col min="11527" max="11527" width="9.25" customWidth="1"/>
    <col min="11528" max="11528" width="22.125" customWidth="1"/>
    <col min="11529" max="11529" width="6.375" customWidth="1"/>
    <col min="11530" max="11530" width="2.625" customWidth="1"/>
    <col min="11531" max="11531" width="3.625" customWidth="1"/>
    <col min="11532" max="11532" width="2.625" customWidth="1"/>
    <col min="11533" max="11533" width="10.625" customWidth="1"/>
    <col min="11534" max="11534" width="30.75" customWidth="1"/>
    <col min="11535" max="11535" width="2.625" customWidth="1"/>
    <col min="11536" max="11536" width="28.875" customWidth="1"/>
    <col min="11537" max="11537" width="10.75" customWidth="1"/>
    <col min="11777" max="11777" width="2.625" customWidth="1"/>
    <col min="11778" max="11778" width="9.25" customWidth="1"/>
    <col min="11779" max="11779" width="22.125" customWidth="1"/>
    <col min="11780" max="11780" width="6.375" customWidth="1"/>
    <col min="11781" max="11781" width="4" customWidth="1"/>
    <col min="11782" max="11782" width="2.625" customWidth="1"/>
    <col min="11783" max="11783" width="9.25" customWidth="1"/>
    <col min="11784" max="11784" width="22.125" customWidth="1"/>
    <col min="11785" max="11785" width="6.375" customWidth="1"/>
    <col min="11786" max="11786" width="2.625" customWidth="1"/>
    <col min="11787" max="11787" width="3.625" customWidth="1"/>
    <col min="11788" max="11788" width="2.625" customWidth="1"/>
    <col min="11789" max="11789" width="10.625" customWidth="1"/>
    <col min="11790" max="11790" width="30.75" customWidth="1"/>
    <col min="11791" max="11791" width="2.625" customWidth="1"/>
    <col min="11792" max="11792" width="28.875" customWidth="1"/>
    <col min="11793" max="11793" width="10.75" customWidth="1"/>
    <col min="12033" max="12033" width="2.625" customWidth="1"/>
    <col min="12034" max="12034" width="9.25" customWidth="1"/>
    <col min="12035" max="12035" width="22.125" customWidth="1"/>
    <col min="12036" max="12036" width="6.375" customWidth="1"/>
    <col min="12037" max="12037" width="4" customWidth="1"/>
    <col min="12038" max="12038" width="2.625" customWidth="1"/>
    <col min="12039" max="12039" width="9.25" customWidth="1"/>
    <col min="12040" max="12040" width="22.125" customWidth="1"/>
    <col min="12041" max="12041" width="6.375" customWidth="1"/>
    <col min="12042" max="12042" width="2.625" customWidth="1"/>
    <col min="12043" max="12043" width="3.625" customWidth="1"/>
    <col min="12044" max="12044" width="2.625" customWidth="1"/>
    <col min="12045" max="12045" width="10.625" customWidth="1"/>
    <col min="12046" max="12046" width="30.75" customWidth="1"/>
    <col min="12047" max="12047" width="2.625" customWidth="1"/>
    <col min="12048" max="12048" width="28.875" customWidth="1"/>
    <col min="12049" max="12049" width="10.75" customWidth="1"/>
    <col min="12289" max="12289" width="2.625" customWidth="1"/>
    <col min="12290" max="12290" width="9.25" customWidth="1"/>
    <col min="12291" max="12291" width="22.125" customWidth="1"/>
    <col min="12292" max="12292" width="6.375" customWidth="1"/>
    <col min="12293" max="12293" width="4" customWidth="1"/>
    <col min="12294" max="12294" width="2.625" customWidth="1"/>
    <col min="12295" max="12295" width="9.25" customWidth="1"/>
    <col min="12296" max="12296" width="22.125" customWidth="1"/>
    <col min="12297" max="12297" width="6.375" customWidth="1"/>
    <col min="12298" max="12298" width="2.625" customWidth="1"/>
    <col min="12299" max="12299" width="3.625" customWidth="1"/>
    <col min="12300" max="12300" width="2.625" customWidth="1"/>
    <col min="12301" max="12301" width="10.625" customWidth="1"/>
    <col min="12302" max="12302" width="30.75" customWidth="1"/>
    <col min="12303" max="12303" width="2.625" customWidth="1"/>
    <col min="12304" max="12304" width="28.875" customWidth="1"/>
    <col min="12305" max="12305" width="10.75" customWidth="1"/>
    <col min="12545" max="12545" width="2.625" customWidth="1"/>
    <col min="12546" max="12546" width="9.25" customWidth="1"/>
    <col min="12547" max="12547" width="22.125" customWidth="1"/>
    <col min="12548" max="12548" width="6.375" customWidth="1"/>
    <col min="12549" max="12549" width="4" customWidth="1"/>
    <col min="12550" max="12550" width="2.625" customWidth="1"/>
    <col min="12551" max="12551" width="9.25" customWidth="1"/>
    <col min="12552" max="12552" width="22.125" customWidth="1"/>
    <col min="12553" max="12553" width="6.375" customWidth="1"/>
    <col min="12554" max="12554" width="2.625" customWidth="1"/>
    <col min="12555" max="12555" width="3.625" customWidth="1"/>
    <col min="12556" max="12556" width="2.625" customWidth="1"/>
    <col min="12557" max="12557" width="10.625" customWidth="1"/>
    <col min="12558" max="12558" width="30.75" customWidth="1"/>
    <col min="12559" max="12559" width="2.625" customWidth="1"/>
    <col min="12560" max="12560" width="28.875" customWidth="1"/>
    <col min="12561" max="12561" width="10.75" customWidth="1"/>
    <col min="12801" max="12801" width="2.625" customWidth="1"/>
    <col min="12802" max="12802" width="9.25" customWidth="1"/>
    <col min="12803" max="12803" width="22.125" customWidth="1"/>
    <col min="12804" max="12804" width="6.375" customWidth="1"/>
    <col min="12805" max="12805" width="4" customWidth="1"/>
    <col min="12806" max="12806" width="2.625" customWidth="1"/>
    <col min="12807" max="12807" width="9.25" customWidth="1"/>
    <col min="12808" max="12808" width="22.125" customWidth="1"/>
    <col min="12809" max="12809" width="6.375" customWidth="1"/>
    <col min="12810" max="12810" width="2.625" customWidth="1"/>
    <col min="12811" max="12811" width="3.625" customWidth="1"/>
    <col min="12812" max="12812" width="2.625" customWidth="1"/>
    <col min="12813" max="12813" width="10.625" customWidth="1"/>
    <col min="12814" max="12814" width="30.75" customWidth="1"/>
    <col min="12815" max="12815" width="2.625" customWidth="1"/>
    <col min="12816" max="12816" width="28.875" customWidth="1"/>
    <col min="12817" max="12817" width="10.75" customWidth="1"/>
    <col min="13057" max="13057" width="2.625" customWidth="1"/>
    <col min="13058" max="13058" width="9.25" customWidth="1"/>
    <col min="13059" max="13059" width="22.125" customWidth="1"/>
    <col min="13060" max="13060" width="6.375" customWidth="1"/>
    <col min="13061" max="13061" width="4" customWidth="1"/>
    <col min="13062" max="13062" width="2.625" customWidth="1"/>
    <col min="13063" max="13063" width="9.25" customWidth="1"/>
    <col min="13064" max="13064" width="22.125" customWidth="1"/>
    <col min="13065" max="13065" width="6.375" customWidth="1"/>
    <col min="13066" max="13066" width="2.625" customWidth="1"/>
    <col min="13067" max="13067" width="3.625" customWidth="1"/>
    <col min="13068" max="13068" width="2.625" customWidth="1"/>
    <col min="13069" max="13069" width="10.625" customWidth="1"/>
    <col min="13070" max="13070" width="30.75" customWidth="1"/>
    <col min="13071" max="13071" width="2.625" customWidth="1"/>
    <col min="13072" max="13072" width="28.875" customWidth="1"/>
    <col min="13073" max="13073" width="10.75" customWidth="1"/>
    <col min="13313" max="13313" width="2.625" customWidth="1"/>
    <col min="13314" max="13314" width="9.25" customWidth="1"/>
    <col min="13315" max="13315" width="22.125" customWidth="1"/>
    <col min="13316" max="13316" width="6.375" customWidth="1"/>
    <col min="13317" max="13317" width="4" customWidth="1"/>
    <col min="13318" max="13318" width="2.625" customWidth="1"/>
    <col min="13319" max="13319" width="9.25" customWidth="1"/>
    <col min="13320" max="13320" width="22.125" customWidth="1"/>
    <col min="13321" max="13321" width="6.375" customWidth="1"/>
    <col min="13322" max="13322" width="2.625" customWidth="1"/>
    <col min="13323" max="13323" width="3.625" customWidth="1"/>
    <col min="13324" max="13324" width="2.625" customWidth="1"/>
    <col min="13325" max="13325" width="10.625" customWidth="1"/>
    <col min="13326" max="13326" width="30.75" customWidth="1"/>
    <col min="13327" max="13327" width="2.625" customWidth="1"/>
    <col min="13328" max="13328" width="28.875" customWidth="1"/>
    <col min="13329" max="13329" width="10.75" customWidth="1"/>
    <col min="13569" max="13569" width="2.625" customWidth="1"/>
    <col min="13570" max="13570" width="9.25" customWidth="1"/>
    <col min="13571" max="13571" width="22.125" customWidth="1"/>
    <col min="13572" max="13572" width="6.375" customWidth="1"/>
    <col min="13573" max="13573" width="4" customWidth="1"/>
    <col min="13574" max="13574" width="2.625" customWidth="1"/>
    <col min="13575" max="13575" width="9.25" customWidth="1"/>
    <col min="13576" max="13576" width="22.125" customWidth="1"/>
    <col min="13577" max="13577" width="6.375" customWidth="1"/>
    <col min="13578" max="13578" width="2.625" customWidth="1"/>
    <col min="13579" max="13579" width="3.625" customWidth="1"/>
    <col min="13580" max="13580" width="2.625" customWidth="1"/>
    <col min="13581" max="13581" width="10.625" customWidth="1"/>
    <col min="13582" max="13582" width="30.75" customWidth="1"/>
    <col min="13583" max="13583" width="2.625" customWidth="1"/>
    <col min="13584" max="13584" width="28.875" customWidth="1"/>
    <col min="13585" max="13585" width="10.75" customWidth="1"/>
    <col min="13825" max="13825" width="2.625" customWidth="1"/>
    <col min="13826" max="13826" width="9.25" customWidth="1"/>
    <col min="13827" max="13827" width="22.125" customWidth="1"/>
    <col min="13828" max="13828" width="6.375" customWidth="1"/>
    <col min="13829" max="13829" width="4" customWidth="1"/>
    <col min="13830" max="13830" width="2.625" customWidth="1"/>
    <col min="13831" max="13831" width="9.25" customWidth="1"/>
    <col min="13832" max="13832" width="22.125" customWidth="1"/>
    <col min="13833" max="13833" width="6.375" customWidth="1"/>
    <col min="13834" max="13834" width="2.625" customWidth="1"/>
    <col min="13835" max="13835" width="3.625" customWidth="1"/>
    <col min="13836" max="13836" width="2.625" customWidth="1"/>
    <col min="13837" max="13837" width="10.625" customWidth="1"/>
    <col min="13838" max="13838" width="30.75" customWidth="1"/>
    <col min="13839" max="13839" width="2.625" customWidth="1"/>
    <col min="13840" max="13840" width="28.875" customWidth="1"/>
    <col min="13841" max="13841" width="10.75" customWidth="1"/>
    <col min="14081" max="14081" width="2.625" customWidth="1"/>
    <col min="14082" max="14082" width="9.25" customWidth="1"/>
    <col min="14083" max="14083" width="22.125" customWidth="1"/>
    <col min="14084" max="14084" width="6.375" customWidth="1"/>
    <col min="14085" max="14085" width="4" customWidth="1"/>
    <col min="14086" max="14086" width="2.625" customWidth="1"/>
    <col min="14087" max="14087" width="9.25" customWidth="1"/>
    <col min="14088" max="14088" width="22.125" customWidth="1"/>
    <col min="14089" max="14089" width="6.375" customWidth="1"/>
    <col min="14090" max="14090" width="2.625" customWidth="1"/>
    <col min="14091" max="14091" width="3.625" customWidth="1"/>
    <col min="14092" max="14092" width="2.625" customWidth="1"/>
    <col min="14093" max="14093" width="10.625" customWidth="1"/>
    <col min="14094" max="14094" width="30.75" customWidth="1"/>
    <col min="14095" max="14095" width="2.625" customWidth="1"/>
    <col min="14096" max="14096" width="28.875" customWidth="1"/>
    <col min="14097" max="14097" width="10.75" customWidth="1"/>
    <col min="14337" max="14337" width="2.625" customWidth="1"/>
    <col min="14338" max="14338" width="9.25" customWidth="1"/>
    <col min="14339" max="14339" width="22.125" customWidth="1"/>
    <col min="14340" max="14340" width="6.375" customWidth="1"/>
    <col min="14341" max="14341" width="4" customWidth="1"/>
    <col min="14342" max="14342" width="2.625" customWidth="1"/>
    <col min="14343" max="14343" width="9.25" customWidth="1"/>
    <col min="14344" max="14344" width="22.125" customWidth="1"/>
    <col min="14345" max="14345" width="6.375" customWidth="1"/>
    <col min="14346" max="14346" width="2.625" customWidth="1"/>
    <col min="14347" max="14347" width="3.625" customWidth="1"/>
    <col min="14348" max="14348" width="2.625" customWidth="1"/>
    <col min="14349" max="14349" width="10.625" customWidth="1"/>
    <col min="14350" max="14350" width="30.75" customWidth="1"/>
    <col min="14351" max="14351" width="2.625" customWidth="1"/>
    <col min="14352" max="14352" width="28.875" customWidth="1"/>
    <col min="14353" max="14353" width="10.75" customWidth="1"/>
    <col min="14593" max="14593" width="2.625" customWidth="1"/>
    <col min="14594" max="14594" width="9.25" customWidth="1"/>
    <col min="14595" max="14595" width="22.125" customWidth="1"/>
    <col min="14596" max="14596" width="6.375" customWidth="1"/>
    <col min="14597" max="14597" width="4" customWidth="1"/>
    <col min="14598" max="14598" width="2.625" customWidth="1"/>
    <col min="14599" max="14599" width="9.25" customWidth="1"/>
    <col min="14600" max="14600" width="22.125" customWidth="1"/>
    <col min="14601" max="14601" width="6.375" customWidth="1"/>
    <col min="14602" max="14602" width="2.625" customWidth="1"/>
    <col min="14603" max="14603" width="3.625" customWidth="1"/>
    <col min="14604" max="14604" width="2.625" customWidth="1"/>
    <col min="14605" max="14605" width="10.625" customWidth="1"/>
    <col min="14606" max="14606" width="30.75" customWidth="1"/>
    <col min="14607" max="14607" width="2.625" customWidth="1"/>
    <col min="14608" max="14608" width="28.875" customWidth="1"/>
    <col min="14609" max="14609" width="10.75" customWidth="1"/>
    <col min="14849" max="14849" width="2.625" customWidth="1"/>
    <col min="14850" max="14850" width="9.25" customWidth="1"/>
    <col min="14851" max="14851" width="22.125" customWidth="1"/>
    <col min="14852" max="14852" width="6.375" customWidth="1"/>
    <col min="14853" max="14853" width="4" customWidth="1"/>
    <col min="14854" max="14854" width="2.625" customWidth="1"/>
    <col min="14855" max="14855" width="9.25" customWidth="1"/>
    <col min="14856" max="14856" width="22.125" customWidth="1"/>
    <col min="14857" max="14857" width="6.375" customWidth="1"/>
    <col min="14858" max="14858" width="2.625" customWidth="1"/>
    <col min="14859" max="14859" width="3.625" customWidth="1"/>
    <col min="14860" max="14860" width="2.625" customWidth="1"/>
    <col min="14861" max="14861" width="10.625" customWidth="1"/>
    <col min="14862" max="14862" width="30.75" customWidth="1"/>
    <col min="14863" max="14863" width="2.625" customWidth="1"/>
    <col min="14864" max="14864" width="28.875" customWidth="1"/>
    <col min="14865" max="14865" width="10.75" customWidth="1"/>
    <col min="15105" max="15105" width="2.625" customWidth="1"/>
    <col min="15106" max="15106" width="9.25" customWidth="1"/>
    <col min="15107" max="15107" width="22.125" customWidth="1"/>
    <col min="15108" max="15108" width="6.375" customWidth="1"/>
    <col min="15109" max="15109" width="4" customWidth="1"/>
    <col min="15110" max="15110" width="2.625" customWidth="1"/>
    <col min="15111" max="15111" width="9.25" customWidth="1"/>
    <col min="15112" max="15112" width="22.125" customWidth="1"/>
    <col min="15113" max="15113" width="6.375" customWidth="1"/>
    <col min="15114" max="15114" width="2.625" customWidth="1"/>
    <col min="15115" max="15115" width="3.625" customWidth="1"/>
    <col min="15116" max="15116" width="2.625" customWidth="1"/>
    <col min="15117" max="15117" width="10.625" customWidth="1"/>
    <col min="15118" max="15118" width="30.75" customWidth="1"/>
    <col min="15119" max="15119" width="2.625" customWidth="1"/>
    <col min="15120" max="15120" width="28.875" customWidth="1"/>
    <col min="15121" max="15121" width="10.75" customWidth="1"/>
    <col min="15361" max="15361" width="2.625" customWidth="1"/>
    <col min="15362" max="15362" width="9.25" customWidth="1"/>
    <col min="15363" max="15363" width="22.125" customWidth="1"/>
    <col min="15364" max="15364" width="6.375" customWidth="1"/>
    <col min="15365" max="15365" width="4" customWidth="1"/>
    <col min="15366" max="15366" width="2.625" customWidth="1"/>
    <col min="15367" max="15367" width="9.25" customWidth="1"/>
    <col min="15368" max="15368" width="22.125" customWidth="1"/>
    <col min="15369" max="15369" width="6.375" customWidth="1"/>
    <col min="15370" max="15370" width="2.625" customWidth="1"/>
    <col min="15371" max="15371" width="3.625" customWidth="1"/>
    <col min="15372" max="15372" width="2.625" customWidth="1"/>
    <col min="15373" max="15373" width="10.625" customWidth="1"/>
    <col min="15374" max="15374" width="30.75" customWidth="1"/>
    <col min="15375" max="15375" width="2.625" customWidth="1"/>
    <col min="15376" max="15376" width="28.875" customWidth="1"/>
    <col min="15377" max="15377" width="10.75" customWidth="1"/>
    <col min="15617" max="15617" width="2.625" customWidth="1"/>
    <col min="15618" max="15618" width="9.25" customWidth="1"/>
    <col min="15619" max="15619" width="22.125" customWidth="1"/>
    <col min="15620" max="15620" width="6.375" customWidth="1"/>
    <col min="15621" max="15621" width="4" customWidth="1"/>
    <col min="15622" max="15622" width="2.625" customWidth="1"/>
    <col min="15623" max="15623" width="9.25" customWidth="1"/>
    <col min="15624" max="15624" width="22.125" customWidth="1"/>
    <col min="15625" max="15625" width="6.375" customWidth="1"/>
    <col min="15626" max="15626" width="2.625" customWidth="1"/>
    <col min="15627" max="15627" width="3.625" customWidth="1"/>
    <col min="15628" max="15628" width="2.625" customWidth="1"/>
    <col min="15629" max="15629" width="10.625" customWidth="1"/>
    <col min="15630" max="15630" width="30.75" customWidth="1"/>
    <col min="15631" max="15631" width="2.625" customWidth="1"/>
    <col min="15632" max="15632" width="28.875" customWidth="1"/>
    <col min="15633" max="15633" width="10.75" customWidth="1"/>
    <col min="15873" max="15873" width="2.625" customWidth="1"/>
    <col min="15874" max="15874" width="9.25" customWidth="1"/>
    <col min="15875" max="15875" width="22.125" customWidth="1"/>
    <col min="15876" max="15876" width="6.375" customWidth="1"/>
    <col min="15877" max="15877" width="4" customWidth="1"/>
    <col min="15878" max="15878" width="2.625" customWidth="1"/>
    <col min="15879" max="15879" width="9.25" customWidth="1"/>
    <col min="15880" max="15880" width="22.125" customWidth="1"/>
    <col min="15881" max="15881" width="6.375" customWidth="1"/>
    <col min="15882" max="15882" width="2.625" customWidth="1"/>
    <col min="15883" max="15883" width="3.625" customWidth="1"/>
    <col min="15884" max="15884" width="2.625" customWidth="1"/>
    <col min="15885" max="15885" width="10.625" customWidth="1"/>
    <col min="15886" max="15886" width="30.75" customWidth="1"/>
    <col min="15887" max="15887" width="2.625" customWidth="1"/>
    <col min="15888" max="15888" width="28.875" customWidth="1"/>
    <col min="15889" max="15889" width="10.75" customWidth="1"/>
    <col min="16129" max="16129" width="2.625" customWidth="1"/>
    <col min="16130" max="16130" width="9.25" customWidth="1"/>
    <col min="16131" max="16131" width="22.125" customWidth="1"/>
    <col min="16132" max="16132" width="6.375" customWidth="1"/>
    <col min="16133" max="16133" width="4" customWidth="1"/>
    <col min="16134" max="16134" width="2.625" customWidth="1"/>
    <col min="16135" max="16135" width="9.25" customWidth="1"/>
    <col min="16136" max="16136" width="22.125" customWidth="1"/>
    <col min="16137" max="16137" width="6.375" customWidth="1"/>
    <col min="16138" max="16138" width="2.625" customWidth="1"/>
    <col min="16139" max="16139" width="3.625" customWidth="1"/>
    <col min="16140" max="16140" width="2.625" customWidth="1"/>
    <col min="16141" max="16141" width="10.625" customWidth="1"/>
    <col min="16142" max="16142" width="30.75" customWidth="1"/>
    <col min="16143" max="16143" width="2.625" customWidth="1"/>
    <col min="16144" max="16144" width="28.875" customWidth="1"/>
    <col min="16145" max="16145" width="10.75" customWidth="1"/>
  </cols>
  <sheetData>
    <row r="1" spans="2:17" ht="4.5" customHeight="1">
      <c r="L1" s="176"/>
      <c r="M1" s="185"/>
      <c r="N1" s="179"/>
      <c r="O1" s="181"/>
      <c r="P1" s="180"/>
      <c r="Q1" s="179"/>
    </row>
    <row r="2" spans="2:17" ht="15" customHeight="1" thickBot="1">
      <c r="B2" s="371"/>
      <c r="C2" s="371"/>
      <c r="D2" s="371"/>
      <c r="G2" s="371"/>
      <c r="H2" s="371"/>
      <c r="I2" s="371"/>
      <c r="L2" s="176"/>
      <c r="M2" s="186" t="s">
        <v>411</v>
      </c>
      <c r="N2" s="176"/>
      <c r="O2" s="177" t="s">
        <v>410</v>
      </c>
      <c r="P2" s="165" t="s">
        <v>409</v>
      </c>
      <c r="Q2" s="176"/>
    </row>
    <row r="3" spans="2:17" ht="15" customHeight="1" thickBot="1">
      <c r="B3" s="372" t="str">
        <f>IF($M3="〒0","",$M3)</f>
        <v/>
      </c>
      <c r="C3" s="372"/>
      <c r="D3" s="372"/>
      <c r="G3" s="372" t="str">
        <f>$B3</f>
        <v/>
      </c>
      <c r="H3" s="372"/>
      <c r="I3" s="372"/>
      <c r="K3" s="190" t="s">
        <v>32</v>
      </c>
      <c r="L3" s="176"/>
      <c r="M3" s="186" t="str" cm="1">
        <f t="array" ref="M3">IFERROR("〒"&amp;(_xlfn.IFS(K3="",VLOOKUP(基本情報入力!$B$12,基本情報入力!$N$71:$S$138,2,FALSE),K3&lt;&gt;"",VLOOKUP(K3,基本情報入力!$A$23:$K$35,7,FALSE))),"")</f>
        <v>〒0</v>
      </c>
      <c r="N3" s="184"/>
      <c r="O3" s="177"/>
      <c r="P3" s="165" t="s">
        <v>408</v>
      </c>
      <c r="Q3" s="176"/>
    </row>
    <row r="4" spans="2:17" ht="15" customHeight="1">
      <c r="L4" s="176"/>
      <c r="M4" s="186"/>
      <c r="N4" s="184"/>
      <c r="O4" s="177"/>
      <c r="P4" s="165" t="s">
        <v>407</v>
      </c>
      <c r="Q4" s="176"/>
    </row>
    <row r="5" spans="2:17" ht="15" customHeight="1">
      <c r="B5" s="372" t="str">
        <f>IF($M5="","",$M5)</f>
        <v/>
      </c>
      <c r="C5" s="372"/>
      <c r="D5" s="372"/>
      <c r="G5" s="372" t="str">
        <f>$B5</f>
        <v/>
      </c>
      <c r="H5" s="372"/>
      <c r="I5" s="372"/>
      <c r="L5" s="176"/>
      <c r="M5" s="186" t="str" cm="1">
        <f t="array" ref="M5">IFERROR(_xlfn.IFS(K3="",VLOOKUP(基本情報入力!$B$12,基本情報入力!$N$71:$S$138,3,FALSE),K3&lt;&gt;"",VLOOKUP(K3,基本情報入力!$A$23:$K$35,8,FALSE)&amp;""),"")</f>
        <v/>
      </c>
      <c r="N5" s="184"/>
      <c r="O5" s="177"/>
      <c r="P5" s="165" t="s">
        <v>406</v>
      </c>
      <c r="Q5" s="176"/>
    </row>
    <row r="6" spans="2:17" ht="15" customHeight="1">
      <c r="B6" s="372" t="str">
        <f>IF($M6="","",$M6)</f>
        <v/>
      </c>
      <c r="C6" s="373"/>
      <c r="D6" s="373"/>
      <c r="E6" s="373"/>
      <c r="G6" s="372" t="str">
        <f>$B6</f>
        <v/>
      </c>
      <c r="H6" s="373"/>
      <c r="I6" s="373"/>
      <c r="J6" s="373"/>
      <c r="L6" s="176"/>
      <c r="M6" s="187" t="str" cm="1">
        <f t="array" ref="M6">_xlfn.IFS(K3="",VLOOKUP(基本情報入力!$B$12,基本情報入力!$N$71:$S$138,4,FALSE),K3&lt;&gt;"",VLOOKUP(K3,基本情報入力!$A$23:$K$35,9,FALSE)&amp;"")</f>
        <v/>
      </c>
      <c r="N6" s="184"/>
      <c r="O6" s="177"/>
      <c r="P6" s="165" t="s">
        <v>405</v>
      </c>
      <c r="Q6" s="176"/>
    </row>
    <row r="7" spans="2:17" ht="15" customHeight="1">
      <c r="B7" s="369" t="str">
        <f>IF($M7="","",$M7)</f>
        <v>　様</v>
      </c>
      <c r="C7" s="369"/>
      <c r="D7" s="370"/>
      <c r="G7" s="369" t="str">
        <f>$B7</f>
        <v>　様</v>
      </c>
      <c r="H7" s="369"/>
      <c r="I7" s="370"/>
      <c r="L7" s="176"/>
      <c r="M7" s="186" t="str" cm="1">
        <f t="array" ref="M7">IFERROR(_xlfn.IFS(K3="","行政書士法人チェスター",K3&lt;&gt;"",VLOOKUP(K3,基本情報入力!$A$23:$K$35,3,FALSE)&amp;"　様"),"")</f>
        <v>　様</v>
      </c>
      <c r="N7" s="184"/>
      <c r="O7" s="177"/>
      <c r="P7" s="165" t="s">
        <v>404</v>
      </c>
      <c r="Q7" s="176"/>
    </row>
    <row r="8" spans="2:17" ht="15" customHeight="1">
      <c r="B8" s="369"/>
      <c r="C8" s="369"/>
      <c r="D8" s="370"/>
      <c r="G8" s="369"/>
      <c r="H8" s="369"/>
      <c r="I8" s="370"/>
      <c r="L8" s="176"/>
      <c r="M8" s="186"/>
      <c r="N8" s="184"/>
      <c r="O8" s="177"/>
      <c r="Q8" s="176"/>
    </row>
    <row r="9" spans="2:17" ht="15" customHeight="1">
      <c r="B9" s="178"/>
      <c r="C9" s="374" t="str">
        <f>IF($M9="TEL：","",$M9)</f>
        <v/>
      </c>
      <c r="D9" s="374"/>
      <c r="G9" s="178"/>
      <c r="H9" s="374" t="str">
        <f>$C9</f>
        <v/>
      </c>
      <c r="I9" s="374"/>
      <c r="L9" s="176"/>
      <c r="M9" s="187" t="str">
        <f>IFERROR("TEL："&amp;(IF(K3="",VLOOKUP(基本情報入力!$B$13,基本情報入力!$G$71:$H$136,2,FALSE),VLOOKUP(K3,基本情報入力!$A$23:$K$35,10,FALSE))),"")</f>
        <v>TEL：</v>
      </c>
      <c r="N9" s="176"/>
      <c r="O9" s="177"/>
      <c r="Q9" s="176"/>
    </row>
    <row r="10" spans="2:17" ht="5.25" customHeight="1" thickBot="1">
      <c r="K10" s="183"/>
      <c r="L10" s="176"/>
      <c r="M10" s="188"/>
      <c r="N10" s="173"/>
      <c r="O10" s="175"/>
      <c r="P10" s="174"/>
      <c r="Q10" s="173"/>
    </row>
    <row r="11" spans="2:17" ht="5.25" customHeight="1">
      <c r="K11" s="182"/>
      <c r="L11" s="176"/>
      <c r="M11" s="185"/>
      <c r="N11" s="179"/>
      <c r="O11" s="181"/>
      <c r="P11" s="180"/>
      <c r="Q11" s="179"/>
    </row>
    <row r="12" spans="2:17" ht="15" customHeight="1" thickBot="1">
      <c r="B12" s="371"/>
      <c r="C12" s="371"/>
      <c r="D12" s="371"/>
      <c r="G12" s="371"/>
      <c r="H12" s="371"/>
      <c r="I12" s="371"/>
      <c r="L12" s="176"/>
      <c r="M12" s="186"/>
      <c r="N12" s="176"/>
      <c r="O12" s="177"/>
      <c r="Q12" s="176"/>
    </row>
    <row r="13" spans="2:17" ht="15" customHeight="1" thickBot="1">
      <c r="B13" s="372" t="str">
        <f>IF($M13="〒0","",$M13)</f>
        <v/>
      </c>
      <c r="C13" s="372"/>
      <c r="D13" s="372"/>
      <c r="G13" s="372" t="str">
        <f>$B13</f>
        <v/>
      </c>
      <c r="H13" s="372"/>
      <c r="I13" s="372"/>
      <c r="K13" s="190" t="s">
        <v>31</v>
      </c>
      <c r="L13" s="176"/>
      <c r="M13" s="186" t="str" cm="1">
        <f t="array" ref="M13">IFERROR("〒"&amp;(_xlfn.IFS(K13="",VLOOKUP(基本情報入力!$B$12,基本情報入力!$N$71:$S$138,2,FALSE),K13&lt;&gt;"",VLOOKUP(K13,基本情報入力!$A$23:$K$35,7,FALSE))),"")</f>
        <v>〒0</v>
      </c>
      <c r="N13" s="375" t="s">
        <v>403</v>
      </c>
      <c r="O13" s="376"/>
      <c r="P13" s="377"/>
      <c r="Q13" s="176"/>
    </row>
    <row r="14" spans="2:17" ht="15" customHeight="1">
      <c r="L14" s="176"/>
      <c r="M14" s="186"/>
      <c r="N14" s="378"/>
      <c r="O14" s="379"/>
      <c r="P14" s="380"/>
      <c r="Q14" s="176"/>
    </row>
    <row r="15" spans="2:17" ht="15" customHeight="1">
      <c r="B15" s="372" t="str">
        <f>IF($M15="","",$M15)</f>
        <v/>
      </c>
      <c r="C15" s="372"/>
      <c r="D15" s="372"/>
      <c r="G15" s="372" t="str">
        <f>$B15</f>
        <v/>
      </c>
      <c r="H15" s="372"/>
      <c r="I15" s="372"/>
      <c r="L15" s="176"/>
      <c r="M15" s="186" t="str" cm="1">
        <f t="array" ref="M15">IFERROR(_xlfn.IFS(K13="",VLOOKUP(基本情報入力!$B$12,基本情報入力!$N$71:$S$138,3,FALSE),K13&lt;&gt;"",VLOOKUP(K13,基本情報入力!$A$23:$K$35,8,FALSE)&amp;""),"")</f>
        <v/>
      </c>
      <c r="N15" s="378"/>
      <c r="O15" s="379"/>
      <c r="P15" s="380"/>
      <c r="Q15" s="176"/>
    </row>
    <row r="16" spans="2:17" ht="15" customHeight="1">
      <c r="B16" s="372" t="str">
        <f>IF($M16="","",$M16)</f>
        <v/>
      </c>
      <c r="C16" s="373"/>
      <c r="D16" s="373"/>
      <c r="E16" s="373"/>
      <c r="G16" s="372" t="str">
        <f>$B16</f>
        <v/>
      </c>
      <c r="H16" s="373"/>
      <c r="I16" s="373"/>
      <c r="J16" s="373"/>
      <c r="L16" s="176"/>
      <c r="M16" s="187" t="str" cm="1">
        <f t="array" ref="M16">_xlfn.IFS(K13="",VLOOKUP(基本情報入力!$B$12,基本情報入力!$N$71:$S$138,4,FALSE),K13&lt;&gt;"",VLOOKUP(K13,基本情報入力!$A$23:$K$35,9,FALSE)&amp;"")</f>
        <v/>
      </c>
      <c r="N16" s="378"/>
      <c r="O16" s="379"/>
      <c r="P16" s="380"/>
      <c r="Q16" s="176"/>
    </row>
    <row r="17" spans="2:17" ht="15" customHeight="1">
      <c r="B17" s="369" t="str">
        <f>IF($M17="","",$M17)</f>
        <v>　様</v>
      </c>
      <c r="C17" s="369"/>
      <c r="D17" s="370"/>
      <c r="G17" s="369" t="str">
        <f>$B17</f>
        <v>　様</v>
      </c>
      <c r="H17" s="369"/>
      <c r="I17" s="370"/>
      <c r="L17" s="176"/>
      <c r="M17" s="186" t="str" cm="1">
        <f t="array" ref="M17">IFERROR(_xlfn.IFS(K13="","行政書士法人チェスター",K13&lt;&gt;"",VLOOKUP(K13,基本情報入力!$A$23:$K$35,3,FALSE)&amp;"　様"),"")</f>
        <v>　様</v>
      </c>
      <c r="N17" s="378"/>
      <c r="O17" s="379"/>
      <c r="P17" s="380"/>
      <c r="Q17" s="176"/>
    </row>
    <row r="18" spans="2:17" ht="15" customHeight="1">
      <c r="B18" s="369"/>
      <c r="C18" s="369"/>
      <c r="D18" s="370"/>
      <c r="G18" s="369"/>
      <c r="H18" s="369"/>
      <c r="I18" s="370"/>
      <c r="L18" s="176"/>
      <c r="M18" s="186"/>
      <c r="N18" s="378"/>
      <c r="O18" s="379"/>
      <c r="P18" s="380"/>
      <c r="Q18" s="176"/>
    </row>
    <row r="19" spans="2:17" ht="15" customHeight="1">
      <c r="B19" s="178"/>
      <c r="C19" s="374" t="str">
        <f>IF($M19="TEL：","",$M19)</f>
        <v/>
      </c>
      <c r="D19" s="374"/>
      <c r="G19" s="178"/>
      <c r="H19" s="374" t="str">
        <f>$C19</f>
        <v/>
      </c>
      <c r="I19" s="374"/>
      <c r="L19" s="176"/>
      <c r="M19" s="187" t="str">
        <f>IFERROR("TEL："&amp;(IF(K13="",VLOOKUP(基本情報入力!$B$13,基本情報入力!$G$71:$H$136,2,FALSE),VLOOKUP(K13,基本情報入力!$A$23:$K$35,10,FALSE))),"")</f>
        <v>TEL：</v>
      </c>
      <c r="N19" s="378"/>
      <c r="O19" s="379"/>
      <c r="P19" s="380"/>
      <c r="Q19" s="176"/>
    </row>
    <row r="20" spans="2:17" ht="5.25" customHeight="1" thickBot="1">
      <c r="K20" s="183"/>
      <c r="L20" s="176"/>
      <c r="M20" s="188"/>
      <c r="N20" s="378"/>
      <c r="O20" s="379"/>
      <c r="P20" s="380"/>
      <c r="Q20" s="173"/>
    </row>
    <row r="21" spans="2:17" ht="5.25" customHeight="1">
      <c r="K21" s="182"/>
      <c r="L21" s="176"/>
      <c r="M21" s="185"/>
      <c r="N21" s="378"/>
      <c r="O21" s="379"/>
      <c r="P21" s="380"/>
      <c r="Q21" s="179"/>
    </row>
    <row r="22" spans="2:17" ht="15" customHeight="1" thickBot="1">
      <c r="B22" s="371"/>
      <c r="C22" s="371"/>
      <c r="D22" s="371"/>
      <c r="G22" s="371"/>
      <c r="H22" s="371"/>
      <c r="I22" s="371"/>
      <c r="L22" s="176"/>
      <c r="M22" s="186"/>
      <c r="N22" s="378"/>
      <c r="O22" s="379"/>
      <c r="P22" s="380"/>
      <c r="Q22" s="176"/>
    </row>
    <row r="23" spans="2:17" ht="15" customHeight="1" thickBot="1">
      <c r="B23" s="372" t="str">
        <f>IF($M23="〒0","",$M23)</f>
        <v/>
      </c>
      <c r="C23" s="372"/>
      <c r="D23" s="372"/>
      <c r="G23" s="372" t="str">
        <f>$B23</f>
        <v/>
      </c>
      <c r="H23" s="372"/>
      <c r="I23" s="372"/>
      <c r="K23" s="190" t="s">
        <v>33</v>
      </c>
      <c r="L23" s="176"/>
      <c r="M23" s="186" t="str" cm="1">
        <f t="array" ref="M23">IFERROR("〒"&amp;(_xlfn.IFS(K23="",VLOOKUP(基本情報入力!$B$12,基本情報入力!$N$71:$S$138,2,FALSE),K23&lt;&gt;"",VLOOKUP(K23,基本情報入力!$A$23:$K$35,7,FALSE))),"")</f>
        <v>〒0</v>
      </c>
      <c r="N23" s="378"/>
      <c r="O23" s="379"/>
      <c r="P23" s="380"/>
      <c r="Q23" s="176"/>
    </row>
    <row r="24" spans="2:17" ht="15" customHeight="1">
      <c r="L24" s="176"/>
      <c r="M24" s="186"/>
      <c r="N24" s="378"/>
      <c r="O24" s="379"/>
      <c r="P24" s="380"/>
      <c r="Q24" s="176"/>
    </row>
    <row r="25" spans="2:17" ht="15" customHeight="1">
      <c r="B25" s="372" t="str">
        <f>IF($M25="","",$M25)</f>
        <v/>
      </c>
      <c r="C25" s="372"/>
      <c r="D25" s="372"/>
      <c r="G25" s="372" t="str">
        <f>$B25</f>
        <v/>
      </c>
      <c r="H25" s="372"/>
      <c r="I25" s="372"/>
      <c r="L25" s="176"/>
      <c r="M25" s="186" t="str" cm="1">
        <f t="array" ref="M25">IFERROR(_xlfn.IFS(K23="",VLOOKUP(基本情報入力!$B$12,基本情報入力!$N$71:$S$138,3,FALSE),K23&lt;&gt;"",VLOOKUP(K23,基本情報入力!$A$23:$K$35,8,FALSE)&amp;""),"")</f>
        <v/>
      </c>
      <c r="N25" s="378"/>
      <c r="O25" s="379"/>
      <c r="P25" s="380"/>
      <c r="Q25" s="176"/>
    </row>
    <row r="26" spans="2:17" ht="15" customHeight="1">
      <c r="B26" s="372" t="str">
        <f>IF($M26="","",$M26)</f>
        <v/>
      </c>
      <c r="C26" s="373"/>
      <c r="D26" s="373"/>
      <c r="E26" s="373"/>
      <c r="G26" s="372" t="str">
        <f>$B26</f>
        <v/>
      </c>
      <c r="H26" s="373"/>
      <c r="I26" s="373"/>
      <c r="J26" s="373"/>
      <c r="L26" s="176"/>
      <c r="M26" s="187" t="str" cm="1">
        <f t="array" ref="M26">_xlfn.IFS(K23="",VLOOKUP(基本情報入力!$B$12,基本情報入力!$N$71:$S$138,4,FALSE),K23&lt;&gt;"",VLOOKUP(K23,基本情報入力!$A$23:$K$35,9,FALSE)&amp;"")</f>
        <v/>
      </c>
      <c r="N26" s="378"/>
      <c r="O26" s="379"/>
      <c r="P26" s="380"/>
      <c r="Q26" s="176"/>
    </row>
    <row r="27" spans="2:17" ht="15" customHeight="1" thickBot="1">
      <c r="B27" s="369" t="str">
        <f>IF($M27="","",$M27)</f>
        <v>　様</v>
      </c>
      <c r="C27" s="369"/>
      <c r="D27" s="370"/>
      <c r="G27" s="369" t="str">
        <f>$B27</f>
        <v>　様</v>
      </c>
      <c r="H27" s="369"/>
      <c r="I27" s="370"/>
      <c r="L27" s="176"/>
      <c r="M27" s="186" t="str" cm="1">
        <f t="array" ref="M27">IFERROR(_xlfn.IFS(K23="","行政書士法人チェスター",K23&lt;&gt;"",VLOOKUP(K23,基本情報入力!$A$23:$K$35,3,FALSE)&amp;"　様"),"")</f>
        <v>　様</v>
      </c>
      <c r="N27" s="381"/>
      <c r="O27" s="382"/>
      <c r="P27" s="383"/>
      <c r="Q27" s="176"/>
    </row>
    <row r="28" spans="2:17" ht="15" customHeight="1">
      <c r="B28" s="369"/>
      <c r="C28" s="369"/>
      <c r="D28" s="370"/>
      <c r="G28" s="369"/>
      <c r="H28" s="369"/>
      <c r="I28" s="370"/>
      <c r="L28" s="176"/>
      <c r="M28" s="186"/>
      <c r="N28" s="176"/>
      <c r="O28" s="177"/>
      <c r="Q28" s="176"/>
    </row>
    <row r="29" spans="2:17" ht="15" customHeight="1">
      <c r="B29" s="178"/>
      <c r="C29" s="374" t="str">
        <f>IF($M29="TEL：","",$M29)</f>
        <v/>
      </c>
      <c r="D29" s="374"/>
      <c r="G29" s="178"/>
      <c r="H29" s="374" t="str">
        <f>$C29</f>
        <v/>
      </c>
      <c r="I29" s="374"/>
      <c r="L29" s="176"/>
      <c r="M29" s="187" t="str">
        <f>IFERROR("TEL："&amp;(IF(K23="",VLOOKUP(基本情報入力!$B$13,基本情報入力!$G$71:$H$136,2,FALSE),VLOOKUP(K23,基本情報入力!$A$23:$K$35,10,FALSE))),"")</f>
        <v>TEL：</v>
      </c>
      <c r="N29" s="176"/>
      <c r="O29" s="177"/>
      <c r="Q29" s="176"/>
    </row>
    <row r="30" spans="2:17" ht="5.25" customHeight="1" thickBot="1">
      <c r="K30" s="183"/>
      <c r="L30" s="176"/>
      <c r="M30" s="188"/>
      <c r="N30" s="173"/>
      <c r="O30" s="175"/>
      <c r="P30" s="174"/>
      <c r="Q30" s="173"/>
    </row>
    <row r="31" spans="2:17" ht="5.25" customHeight="1">
      <c r="K31" s="182"/>
      <c r="L31" s="176"/>
      <c r="M31" s="185"/>
      <c r="N31" s="179"/>
      <c r="O31" s="181"/>
      <c r="P31" s="180"/>
      <c r="Q31" s="179"/>
    </row>
    <row r="32" spans="2:17" ht="15" customHeight="1" thickBot="1">
      <c r="B32" s="371"/>
      <c r="C32" s="371"/>
      <c r="D32" s="371"/>
      <c r="G32" s="371"/>
      <c r="H32" s="371"/>
      <c r="I32" s="371"/>
      <c r="L32" s="176"/>
      <c r="M32" s="186"/>
      <c r="N32" s="176"/>
      <c r="O32" s="177"/>
      <c r="Q32" s="176"/>
    </row>
    <row r="33" spans="2:17" ht="15" customHeight="1" thickBot="1">
      <c r="B33" s="372" t="str">
        <f>IF($M33="〒0","",$M33)</f>
        <v/>
      </c>
      <c r="C33" s="372"/>
      <c r="D33" s="372"/>
      <c r="G33" s="372" t="str">
        <f>$B33</f>
        <v/>
      </c>
      <c r="H33" s="372"/>
      <c r="I33" s="372"/>
      <c r="K33" s="190"/>
      <c r="L33" s="176"/>
      <c r="M33" s="186" t="str" cm="1">
        <f t="array" ref="M33">IFERROR("〒"&amp;(_xlfn.IFS(K33="",VLOOKUP(基本情報入力!$B$12,基本情報入力!$N$71:$S$138,2,FALSE),K33&lt;&gt;"",VLOOKUP(K33,基本情報入力!$A$23:$K$35,7,FALSE))),"")</f>
        <v/>
      </c>
      <c r="N33" s="176"/>
      <c r="O33" s="177"/>
      <c r="Q33" s="176"/>
    </row>
    <row r="34" spans="2:17" ht="15" customHeight="1">
      <c r="L34" s="176"/>
      <c r="M34" s="186"/>
      <c r="N34" s="176"/>
      <c r="O34" s="177"/>
      <c r="Q34" s="176"/>
    </row>
    <row r="35" spans="2:17" ht="15" customHeight="1">
      <c r="B35" s="372" t="str">
        <f>IF($M35="","",$M35)</f>
        <v/>
      </c>
      <c r="C35" s="372"/>
      <c r="D35" s="372"/>
      <c r="G35" s="372" t="str">
        <f>$B35</f>
        <v/>
      </c>
      <c r="H35" s="372"/>
      <c r="I35" s="372"/>
      <c r="L35" s="176"/>
      <c r="M35" s="186" t="str" cm="1">
        <f t="array" ref="M35">IFERROR(_xlfn.IFS(K33="",VLOOKUP(基本情報入力!$B$12,基本情報入力!$N$71:$S$138,3,FALSE),K33&lt;&gt;"",VLOOKUP(K33,基本情報入力!$A$23:$K$35,8,FALSE)&amp;""),"")</f>
        <v/>
      </c>
      <c r="N35" s="176"/>
      <c r="O35" s="177"/>
      <c r="Q35" s="176"/>
    </row>
    <row r="36" spans="2:17" ht="15" customHeight="1">
      <c r="B36" s="372" t="e">
        <f>IF($M36="","",$M36)</f>
        <v>#N/A</v>
      </c>
      <c r="C36" s="373"/>
      <c r="D36" s="373"/>
      <c r="E36" s="373"/>
      <c r="G36" s="372" t="e">
        <f>$B36</f>
        <v>#N/A</v>
      </c>
      <c r="H36" s="373"/>
      <c r="I36" s="373"/>
      <c r="J36" s="373"/>
      <c r="L36" s="176"/>
      <c r="M36" s="187" t="e" cm="1">
        <f t="array" ref="M36">_xlfn.IFS(K33="",VLOOKUP(基本情報入力!$B$12,基本情報入力!$N$71:$S$138,4,FALSE),K33&lt;&gt;"",VLOOKUP(K33,基本情報入力!$A$23:$K$35,9,FALSE)&amp;"")</f>
        <v>#N/A</v>
      </c>
      <c r="N36" s="176"/>
      <c r="O36" s="177"/>
      <c r="Q36" s="176"/>
    </row>
    <row r="37" spans="2:17" ht="15" customHeight="1">
      <c r="B37" s="369" t="str">
        <f>IF($M37="","",$M37)</f>
        <v>行政書士法人チェスター</v>
      </c>
      <c r="C37" s="369"/>
      <c r="D37" s="370"/>
      <c r="G37" s="369" t="str">
        <f>$B37</f>
        <v>行政書士法人チェスター</v>
      </c>
      <c r="H37" s="369"/>
      <c r="I37" s="370"/>
      <c r="L37" s="176"/>
      <c r="M37" s="186" t="str" cm="1">
        <f t="array" ref="M37">IFERROR(_xlfn.IFS(K33="","行政書士法人チェスター",K33&lt;&gt;"",VLOOKUP(K33,基本情報入力!$A$23:$K$35,3,FALSE)&amp;"　様"),"")</f>
        <v>行政書士法人チェスター</v>
      </c>
      <c r="N37" s="176"/>
      <c r="O37" s="177"/>
      <c r="Q37" s="176"/>
    </row>
    <row r="38" spans="2:17" ht="15" customHeight="1">
      <c r="B38" s="369"/>
      <c r="C38" s="369"/>
      <c r="D38" s="370"/>
      <c r="G38" s="369"/>
      <c r="H38" s="369"/>
      <c r="I38" s="370"/>
      <c r="L38" s="176"/>
      <c r="M38" s="186"/>
      <c r="N38" s="176"/>
      <c r="O38" s="177"/>
      <c r="Q38" s="176"/>
    </row>
    <row r="39" spans="2:17" ht="15" customHeight="1">
      <c r="B39" s="178"/>
      <c r="C39" s="374" t="str">
        <f>IF($M39="TEL：","",$M39)</f>
        <v/>
      </c>
      <c r="D39" s="374"/>
      <c r="G39" s="178"/>
      <c r="H39" s="374" t="str">
        <f>$C39</f>
        <v/>
      </c>
      <c r="I39" s="374"/>
      <c r="L39" s="176"/>
      <c r="M39" s="187" t="str">
        <f>IFERROR("TEL："&amp;(IF(K33="",VLOOKUP(基本情報入力!$B$13,基本情報入力!$G$71:$H$136,2,FALSE),VLOOKUP(K33,基本情報入力!$A$23:$K$35,10,FALSE))),"")</f>
        <v/>
      </c>
      <c r="N39" s="176"/>
      <c r="O39" s="177"/>
      <c r="Q39" s="176"/>
    </row>
    <row r="40" spans="2:17" ht="5.25" customHeight="1" thickBot="1">
      <c r="K40" s="183"/>
      <c r="L40" s="176"/>
      <c r="M40" s="188"/>
      <c r="N40" s="173"/>
      <c r="O40" s="175"/>
      <c r="P40" s="174"/>
      <c r="Q40" s="173"/>
    </row>
    <row r="41" spans="2:17" ht="5.25" customHeight="1">
      <c r="K41" s="182"/>
      <c r="L41" s="176"/>
      <c r="M41" s="185"/>
      <c r="N41" s="179"/>
      <c r="O41" s="181"/>
      <c r="P41" s="180"/>
      <c r="Q41" s="179"/>
    </row>
    <row r="42" spans="2:17" ht="15" customHeight="1" thickBot="1">
      <c r="B42" s="371"/>
      <c r="C42" s="371"/>
      <c r="D42" s="371"/>
      <c r="G42" s="371"/>
      <c r="H42" s="371"/>
      <c r="I42" s="371"/>
      <c r="L42" s="176"/>
      <c r="M42" s="186"/>
      <c r="N42" s="176"/>
      <c r="O42" s="177"/>
      <c r="Q42" s="176"/>
    </row>
    <row r="43" spans="2:17" ht="15" customHeight="1" thickBot="1">
      <c r="B43" s="372" t="str">
        <f>IF($M43="〒0","",$M43)</f>
        <v/>
      </c>
      <c r="C43" s="372"/>
      <c r="D43" s="372"/>
      <c r="G43" s="372" t="str">
        <f>$B43</f>
        <v/>
      </c>
      <c r="H43" s="372"/>
      <c r="I43" s="372"/>
      <c r="K43" s="190"/>
      <c r="L43" s="176"/>
      <c r="M43" s="186" t="str" cm="1">
        <f t="array" ref="M43">IFERROR("〒"&amp;(_xlfn.IFS(K43="",VLOOKUP(基本情報入力!$B$12,基本情報入力!$N$71:$S$138,2,FALSE),K43&lt;&gt;"",VLOOKUP(K43,基本情報入力!$A$23:$K$35,7,FALSE))),"")</f>
        <v/>
      </c>
      <c r="N43" s="176"/>
      <c r="O43" s="177"/>
      <c r="Q43" s="176"/>
    </row>
    <row r="44" spans="2:17" ht="15" customHeight="1">
      <c r="L44" s="176"/>
      <c r="M44" s="186"/>
      <c r="N44" s="176"/>
      <c r="O44" s="177"/>
      <c r="Q44" s="176"/>
    </row>
    <row r="45" spans="2:17" ht="15" customHeight="1">
      <c r="B45" s="372" t="str">
        <f>IF($M45="","",$M45)</f>
        <v/>
      </c>
      <c r="C45" s="372"/>
      <c r="D45" s="372"/>
      <c r="G45" s="372" t="str">
        <f>$B45</f>
        <v/>
      </c>
      <c r="H45" s="372"/>
      <c r="I45" s="372"/>
      <c r="L45" s="176"/>
      <c r="M45" s="186" t="str" cm="1">
        <f t="array" ref="M45">IFERROR(_xlfn.IFS(K43="",VLOOKUP(基本情報入力!$B$12,基本情報入力!$N$71:$S$138,3,FALSE),K43&lt;&gt;"",VLOOKUP(K43,基本情報入力!$A$23:$K$35,8,FALSE)&amp;""),"")</f>
        <v/>
      </c>
      <c r="N45" s="176"/>
      <c r="O45" s="177"/>
      <c r="Q45" s="176"/>
    </row>
    <row r="46" spans="2:17" ht="15" customHeight="1">
      <c r="B46" s="372" t="e">
        <f>IF($M46="","",$M46)</f>
        <v>#N/A</v>
      </c>
      <c r="C46" s="373"/>
      <c r="D46" s="373"/>
      <c r="E46" s="373"/>
      <c r="G46" s="372" t="e">
        <f>$B46</f>
        <v>#N/A</v>
      </c>
      <c r="H46" s="373"/>
      <c r="I46" s="373"/>
      <c r="J46" s="373"/>
      <c r="L46" s="176"/>
      <c r="M46" s="187" t="e" cm="1">
        <f t="array" ref="M46">_xlfn.IFS(K43="",VLOOKUP(基本情報入力!$B$12,基本情報入力!$N$71:$S$138,4,FALSE),K43&lt;&gt;"",VLOOKUP(K43,基本情報入力!$A$23:$K$35,9,FALSE)&amp;"")</f>
        <v>#N/A</v>
      </c>
      <c r="N46" s="176"/>
      <c r="O46" s="177"/>
      <c r="Q46" s="176"/>
    </row>
    <row r="47" spans="2:17" ht="15" customHeight="1">
      <c r="B47" s="369" t="str">
        <f>IF($M47="","",$M47)</f>
        <v>行政書士法人チェスター</v>
      </c>
      <c r="C47" s="369"/>
      <c r="D47" s="370"/>
      <c r="G47" s="369" t="str">
        <f>$B47</f>
        <v>行政書士法人チェスター</v>
      </c>
      <c r="H47" s="369"/>
      <c r="I47" s="370"/>
      <c r="L47" s="176"/>
      <c r="M47" s="186" t="str" cm="1">
        <f t="array" ref="M47">IFERROR(_xlfn.IFS(K43="","行政書士法人チェスター",K43&lt;&gt;"",VLOOKUP(K43,基本情報入力!$A$23:$K$35,3,FALSE)&amp;"　様"),"")</f>
        <v>行政書士法人チェスター</v>
      </c>
      <c r="N47" s="176"/>
      <c r="O47" s="177"/>
      <c r="Q47" s="176"/>
    </row>
    <row r="48" spans="2:17" ht="15" customHeight="1">
      <c r="B48" s="369"/>
      <c r="C48" s="369"/>
      <c r="D48" s="370"/>
      <c r="G48" s="369"/>
      <c r="H48" s="369"/>
      <c r="I48" s="370"/>
      <c r="L48" s="176"/>
      <c r="M48" s="186"/>
      <c r="N48" s="176"/>
      <c r="O48" s="177"/>
      <c r="Q48" s="176"/>
    </row>
    <row r="49" spans="2:17" ht="15" customHeight="1">
      <c r="B49" s="178"/>
      <c r="C49" s="374" t="str">
        <f>IF($M49="TEL：","",$M49)</f>
        <v/>
      </c>
      <c r="D49" s="374"/>
      <c r="G49" s="178"/>
      <c r="H49" s="374" t="str">
        <f>$C49</f>
        <v/>
      </c>
      <c r="I49" s="374"/>
      <c r="L49" s="176"/>
      <c r="M49" s="187" t="str">
        <f>IFERROR("TEL："&amp;(IF(K43="",VLOOKUP(基本情報入力!$B$13,基本情報入力!$G$71:$H$136,2,FALSE),VLOOKUP(K43,基本情報入力!$A$23:$K$35,10,FALSE))),"")</f>
        <v/>
      </c>
      <c r="N49" s="176"/>
      <c r="O49" s="177"/>
      <c r="Q49" s="176"/>
    </row>
    <row r="50" spans="2:17" ht="5.25" customHeight="1" thickBot="1">
      <c r="K50" s="183"/>
      <c r="L50" s="176"/>
      <c r="M50" s="188"/>
      <c r="N50" s="173"/>
      <c r="O50" s="175"/>
      <c r="P50" s="174"/>
      <c r="Q50" s="173"/>
    </row>
    <row r="51" spans="2:17" ht="5.25" customHeight="1">
      <c r="K51" s="182"/>
      <c r="M51" s="185"/>
      <c r="N51" s="179"/>
      <c r="O51" s="181"/>
      <c r="P51" s="180"/>
      <c r="Q51" s="179"/>
    </row>
    <row r="52" spans="2:17" ht="15" customHeight="1" thickBot="1">
      <c r="B52" s="371"/>
      <c r="C52" s="371"/>
      <c r="D52" s="371"/>
      <c r="G52" s="371"/>
      <c r="H52" s="371"/>
      <c r="I52" s="371"/>
      <c r="M52" s="186"/>
      <c r="N52" s="176"/>
      <c r="O52" s="177"/>
      <c r="Q52" s="176"/>
    </row>
    <row r="53" spans="2:17" ht="15" customHeight="1" thickBot="1">
      <c r="B53" s="372" t="str">
        <f>IF($M53="〒0","",$M53)</f>
        <v/>
      </c>
      <c r="C53" s="372"/>
      <c r="D53" s="372"/>
      <c r="G53" s="372" t="str">
        <f>$B53</f>
        <v/>
      </c>
      <c r="H53" s="372"/>
      <c r="I53" s="372"/>
      <c r="K53" s="190"/>
      <c r="M53" s="186" t="str" cm="1">
        <f t="array" ref="M53">IFERROR("〒"&amp;(_xlfn.IFS(K53="",VLOOKUP(基本情報入力!$B$12,基本情報入力!$N$71:$S$138,2,FALSE),K53&lt;&gt;"",VLOOKUP(K53,基本情報入力!$A$23:$K$35,7,FALSE))),"")</f>
        <v/>
      </c>
      <c r="N53" s="176"/>
      <c r="O53" s="177"/>
      <c r="Q53" s="176"/>
    </row>
    <row r="54" spans="2:17" ht="15" customHeight="1">
      <c r="M54" s="186"/>
      <c r="N54" s="176"/>
      <c r="O54" s="177"/>
      <c r="Q54" s="176"/>
    </row>
    <row r="55" spans="2:17" ht="15" customHeight="1">
      <c r="B55" s="372" t="str">
        <f>IF($M55="","",$M55)</f>
        <v/>
      </c>
      <c r="C55" s="372"/>
      <c r="D55" s="372"/>
      <c r="G55" s="372" t="str">
        <f>$B55</f>
        <v/>
      </c>
      <c r="H55" s="372"/>
      <c r="I55" s="372"/>
      <c r="M55" s="186" t="str" cm="1">
        <f t="array" ref="M55">IFERROR(_xlfn.IFS(K53="",VLOOKUP(基本情報入力!$B$12,基本情報入力!$N$71:$S$138,3,FALSE),K53&lt;&gt;"",VLOOKUP(K53,基本情報入力!$A$23:$K$35,8,FALSE)&amp;""),"")</f>
        <v/>
      </c>
      <c r="N55" s="176"/>
      <c r="O55" s="177"/>
      <c r="Q55" s="176"/>
    </row>
    <row r="56" spans="2:17" ht="15" customHeight="1">
      <c r="B56" s="372" t="e">
        <f>IF($M56="","",$M56)</f>
        <v>#N/A</v>
      </c>
      <c r="C56" s="373"/>
      <c r="D56" s="373"/>
      <c r="E56" s="373"/>
      <c r="G56" s="372" t="e">
        <f>$B56</f>
        <v>#N/A</v>
      </c>
      <c r="H56" s="373"/>
      <c r="I56" s="373"/>
      <c r="J56" s="373"/>
      <c r="M56" s="187" t="e" cm="1">
        <f t="array" ref="M56">_xlfn.IFS(K53="",VLOOKUP(基本情報入力!$B$12,基本情報入力!$N$71:$S$138,4,FALSE),K53&lt;&gt;"",VLOOKUP(K53,基本情報入力!$A$23:$K$35,9,FALSE)&amp;"")</f>
        <v>#N/A</v>
      </c>
      <c r="N56" s="176"/>
      <c r="O56" s="177"/>
      <c r="Q56" s="176"/>
    </row>
    <row r="57" spans="2:17" ht="15" customHeight="1">
      <c r="B57" s="369" t="str">
        <f>IF($M57="","",$M57)</f>
        <v>行政書士法人チェスター</v>
      </c>
      <c r="C57" s="369"/>
      <c r="D57" s="370"/>
      <c r="G57" s="369" t="str">
        <f>$B57</f>
        <v>行政書士法人チェスター</v>
      </c>
      <c r="H57" s="369"/>
      <c r="I57" s="370"/>
      <c r="M57" s="186" t="str" cm="1">
        <f t="array" ref="M57">IFERROR(_xlfn.IFS(K53="","行政書士法人チェスター",K53&lt;&gt;"",VLOOKUP(K53,基本情報入力!$A$23:$K$35,3,FALSE)&amp;"　様"),"")</f>
        <v>行政書士法人チェスター</v>
      </c>
      <c r="N57" s="176"/>
      <c r="O57" s="177"/>
      <c r="Q57" s="176"/>
    </row>
    <row r="58" spans="2:17" ht="15" customHeight="1">
      <c r="B58" s="369"/>
      <c r="C58" s="369"/>
      <c r="D58" s="370"/>
      <c r="G58" s="369"/>
      <c r="H58" s="369"/>
      <c r="I58" s="370"/>
      <c r="M58" s="186"/>
      <c r="N58" s="176"/>
      <c r="O58" s="177"/>
      <c r="Q58" s="176"/>
    </row>
    <row r="59" spans="2:17" ht="15" customHeight="1">
      <c r="B59" s="178"/>
      <c r="C59" s="374" t="str">
        <f>IF($M59="TEL：","",$M59)</f>
        <v/>
      </c>
      <c r="D59" s="374"/>
      <c r="G59" s="178"/>
      <c r="H59" s="374" t="str">
        <f>$C59</f>
        <v/>
      </c>
      <c r="I59" s="374"/>
      <c r="M59" s="187" t="str">
        <f>IFERROR("TEL："&amp;(IF(K53="",VLOOKUP(基本情報入力!$B$13,基本情報入力!$G$71:$H$136,2,FALSE),VLOOKUP(K53,基本情報入力!$A$23:$K$35,10,FALSE))),"")</f>
        <v/>
      </c>
      <c r="N59" s="176"/>
      <c r="O59" s="177"/>
      <c r="Q59" s="176"/>
    </row>
    <row r="60" spans="2:17" ht="5.25" customHeight="1" thickBot="1">
      <c r="M60" s="188"/>
      <c r="N60" s="173"/>
      <c r="O60" s="175"/>
      <c r="P60" s="174"/>
      <c r="Q60" s="173"/>
    </row>
    <row r="61" spans="2:17" ht="12" customHeight="1">
      <c r="E61" s="172"/>
      <c r="F61" s="171"/>
      <c r="K61" s="170"/>
    </row>
    <row r="62" spans="2:17" ht="34.5" customHeight="1">
      <c r="E62" s="169"/>
      <c r="F62" s="168"/>
      <c r="K62" s="167"/>
    </row>
  </sheetData>
  <mergeCells count="73">
    <mergeCell ref="C59:D59"/>
    <mergeCell ref="H59:I59"/>
    <mergeCell ref="B53:D53"/>
    <mergeCell ref="G53:I53"/>
    <mergeCell ref="B55:D55"/>
    <mergeCell ref="G55:I55"/>
    <mergeCell ref="B56:E56"/>
    <mergeCell ref="G56:J56"/>
    <mergeCell ref="C49:D49"/>
    <mergeCell ref="H49:I49"/>
    <mergeCell ref="B52:D52"/>
    <mergeCell ref="G52:I52"/>
    <mergeCell ref="B57:D58"/>
    <mergeCell ref="G57:I58"/>
    <mergeCell ref="B45:D45"/>
    <mergeCell ref="G45:I45"/>
    <mergeCell ref="B46:E46"/>
    <mergeCell ref="G46:J46"/>
    <mergeCell ref="B47:D48"/>
    <mergeCell ref="G47:I48"/>
    <mergeCell ref="C39:D39"/>
    <mergeCell ref="H39:I39"/>
    <mergeCell ref="B42:D42"/>
    <mergeCell ref="G42:I42"/>
    <mergeCell ref="B43:D43"/>
    <mergeCell ref="G43:I43"/>
    <mergeCell ref="B35:D35"/>
    <mergeCell ref="G35:I35"/>
    <mergeCell ref="B36:E36"/>
    <mergeCell ref="G36:J36"/>
    <mergeCell ref="B37:D38"/>
    <mergeCell ref="G37:I38"/>
    <mergeCell ref="C29:D29"/>
    <mergeCell ref="H29:I29"/>
    <mergeCell ref="B32:D32"/>
    <mergeCell ref="G32:I32"/>
    <mergeCell ref="B33:D33"/>
    <mergeCell ref="G33:I33"/>
    <mergeCell ref="N13:P27"/>
    <mergeCell ref="B15:D15"/>
    <mergeCell ref="G15:I15"/>
    <mergeCell ref="B16:E16"/>
    <mergeCell ref="G16:J16"/>
    <mergeCell ref="B17:D18"/>
    <mergeCell ref="G17:I18"/>
    <mergeCell ref="C19:D19"/>
    <mergeCell ref="H19:I19"/>
    <mergeCell ref="B22:D22"/>
    <mergeCell ref="B27:D28"/>
    <mergeCell ref="G27:I28"/>
    <mergeCell ref="C9:D9"/>
    <mergeCell ref="H9:I9"/>
    <mergeCell ref="B12:D12"/>
    <mergeCell ref="G12:I12"/>
    <mergeCell ref="B26:E26"/>
    <mergeCell ref="G26:J26"/>
    <mergeCell ref="G25:I25"/>
    <mergeCell ref="B13:D13"/>
    <mergeCell ref="G13:I13"/>
    <mergeCell ref="G22:I22"/>
    <mergeCell ref="B23:D23"/>
    <mergeCell ref="G23:I23"/>
    <mergeCell ref="B25:D25"/>
    <mergeCell ref="G7:I8"/>
    <mergeCell ref="B2:D2"/>
    <mergeCell ref="G2:I2"/>
    <mergeCell ref="B3:D3"/>
    <mergeCell ref="G3:I3"/>
    <mergeCell ref="B5:D5"/>
    <mergeCell ref="G5:I5"/>
    <mergeCell ref="B6:E6"/>
    <mergeCell ref="G6:J6"/>
    <mergeCell ref="B7:D8"/>
  </mergeCells>
  <phoneticPr fontId="2"/>
  <pageMargins left="0.74803149606299213" right="0.74803149606299213" top="0.9055118110236221" bottom="0.9055118110236221" header="0" footer="0"/>
  <pageSetup paperSize="9" scale="91" orientation="portrait" r:id="rId1"/>
  <headerFooter alignWithMargins="0"/>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9482ACD-4CEF-4C10-BE57-D92CF4EECFD3}">
          <x14:formula1>
            <xm:f>基本情報入力!$A$24:$A$35</xm:f>
          </x14:formula1>
          <xm:sqref>K3 K13 K23 K33 K43 K53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CBF5-F18D-463E-AA71-079CDE57B636}">
  <dimension ref="A3:I17"/>
  <sheetViews>
    <sheetView workbookViewId="0">
      <selection activeCell="B18" sqref="B18"/>
    </sheetView>
  </sheetViews>
  <sheetFormatPr defaultRowHeight="18.75"/>
  <cols>
    <col min="1" max="1" width="9" style="131"/>
    <col min="2" max="2" width="33.875" style="141" bestFit="1" customWidth="1"/>
    <col min="3" max="3" width="40.125" style="141" customWidth="1"/>
    <col min="4" max="4" width="38" style="142" customWidth="1"/>
    <col min="5" max="5" width="17.25" style="141" bestFit="1" customWidth="1"/>
    <col min="6" max="6" width="40.625" style="143" customWidth="1"/>
  </cols>
  <sheetData>
    <row r="3" spans="1:9">
      <c r="A3" s="221" t="s">
        <v>491</v>
      </c>
      <c r="B3" s="218" t="s">
        <v>489</v>
      </c>
      <c r="C3" s="218" t="s">
        <v>487</v>
      </c>
      <c r="D3" s="219" t="s">
        <v>488</v>
      </c>
      <c r="E3" s="220" t="s">
        <v>490</v>
      </c>
      <c r="F3" s="219" t="s">
        <v>488</v>
      </c>
    </row>
    <row r="4" spans="1:9" ht="47.25">
      <c r="A4" s="131" t="s">
        <v>441</v>
      </c>
      <c r="B4" s="141" t="s">
        <v>288</v>
      </c>
      <c r="D4" s="142" t="s">
        <v>292</v>
      </c>
      <c r="E4" s="141" t="s">
        <v>290</v>
      </c>
      <c r="F4" s="143" t="s">
        <v>293</v>
      </c>
      <c r="I4" s="131"/>
    </row>
    <row r="5" spans="1:9" ht="31.5">
      <c r="B5" s="141" t="s">
        <v>402</v>
      </c>
      <c r="D5" s="142" t="s">
        <v>302</v>
      </c>
      <c r="E5" s="141" t="s">
        <v>437</v>
      </c>
      <c r="F5" s="143" t="s">
        <v>438</v>
      </c>
      <c r="I5" s="131"/>
    </row>
    <row r="6" spans="1:9" ht="31.5">
      <c r="B6" s="141" t="s">
        <v>399</v>
      </c>
      <c r="D6" s="142" t="s">
        <v>303</v>
      </c>
      <c r="E6" s="144"/>
      <c r="F6" s="145"/>
      <c r="I6" s="131"/>
    </row>
    <row r="7" spans="1:9" ht="47.25">
      <c r="B7" s="141" t="s">
        <v>400</v>
      </c>
      <c r="D7" s="142" t="s">
        <v>308</v>
      </c>
      <c r="E7" s="144"/>
      <c r="F7" s="145"/>
      <c r="I7" s="131"/>
    </row>
    <row r="8" spans="1:9">
      <c r="B8" s="141" t="s">
        <v>304</v>
      </c>
      <c r="C8" s="141" t="s">
        <v>412</v>
      </c>
      <c r="E8" s="144"/>
      <c r="F8" s="145"/>
      <c r="I8" s="131"/>
    </row>
    <row r="9" spans="1:9">
      <c r="B9" s="141" t="s">
        <v>486</v>
      </c>
    </row>
    <row r="10" spans="1:9">
      <c r="B10" s="141" t="s">
        <v>454</v>
      </c>
      <c r="D10" s="142" t="s">
        <v>292</v>
      </c>
    </row>
    <row r="11" spans="1:9" ht="31.5">
      <c r="B11" s="141" t="s">
        <v>305</v>
      </c>
      <c r="D11" s="142" t="s">
        <v>306</v>
      </c>
      <c r="E11" s="144"/>
      <c r="F11" s="145"/>
      <c r="I11" s="131"/>
    </row>
    <row r="12" spans="1:9">
      <c r="B12" s="141" t="s">
        <v>307</v>
      </c>
      <c r="C12" s="141" t="s">
        <v>413</v>
      </c>
    </row>
    <row r="13" spans="1:9">
      <c r="B13" s="141" t="s">
        <v>420</v>
      </c>
      <c r="D13" s="142" t="s">
        <v>292</v>
      </c>
    </row>
    <row r="14" spans="1:9">
      <c r="B14" s="141" t="s">
        <v>421</v>
      </c>
    </row>
    <row r="15" spans="1:9" ht="31.5">
      <c r="B15" s="143" t="s">
        <v>422</v>
      </c>
      <c r="D15" s="142" t="s">
        <v>423</v>
      </c>
      <c r="E15" s="144"/>
      <c r="F15" s="145"/>
      <c r="G15" s="131"/>
      <c r="I15" s="131"/>
    </row>
    <row r="16" spans="1:9">
      <c r="B16" s="141" t="s">
        <v>289</v>
      </c>
      <c r="C16" s="141" t="s">
        <v>414</v>
      </c>
    </row>
    <row r="17" spans="2:2">
      <c r="B17" s="141" t="s">
        <v>283</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B09AD-A36D-43B8-9962-916470FA5075}">
  <sheetPr codeName="Sheet7"/>
  <dimension ref="A1:M31"/>
  <sheetViews>
    <sheetView workbookViewId="0"/>
  </sheetViews>
  <sheetFormatPr defaultColWidth="9" defaultRowHeight="13.5"/>
  <cols>
    <col min="1" max="1" width="6.75" style="70" customWidth="1"/>
    <col min="2" max="2" width="6.75" style="19" customWidth="1"/>
    <col min="3" max="3" width="12.25" style="19" bestFit="1" customWidth="1"/>
    <col min="4" max="4" width="24.5" style="20" customWidth="1"/>
    <col min="5" max="5" width="82" style="20" customWidth="1"/>
    <col min="6" max="6" width="8" style="20" customWidth="1"/>
    <col min="7" max="7" width="5.875" style="20" customWidth="1"/>
    <col min="8" max="8" width="9" style="20"/>
    <col min="9" max="9" width="56.75" style="42" customWidth="1"/>
    <col min="10" max="16384" width="9" style="20"/>
  </cols>
  <sheetData>
    <row r="1" spans="1:13" ht="60.75" customHeight="1">
      <c r="B1" s="387" t="s">
        <v>81</v>
      </c>
      <c r="C1" s="387"/>
      <c r="D1" s="387"/>
      <c r="E1" s="49"/>
      <c r="F1" s="301" t="str">
        <f>IFERROR(VLOOKUP($B$1,'送付状(法定)'!$B$18:$O$28,2,FALSE),"")</f>
        <v/>
      </c>
      <c r="G1" s="301"/>
      <c r="I1" s="20"/>
    </row>
    <row r="2" spans="1:13" ht="24" hidden="1" customHeight="1">
      <c r="B2" s="49"/>
      <c r="C2" s="49"/>
      <c r="D2" s="49"/>
      <c r="E2" s="49"/>
      <c r="F2" s="49"/>
      <c r="G2" s="49"/>
      <c r="I2" s="20"/>
    </row>
    <row r="3" spans="1:13" ht="24" hidden="1" customHeight="1">
      <c r="B3" s="49"/>
      <c r="C3" s="49"/>
      <c r="D3" s="49"/>
      <c r="E3" s="49"/>
      <c r="F3" s="49"/>
      <c r="G3" s="49"/>
      <c r="I3" s="20"/>
    </row>
    <row r="4" spans="1:13" ht="24" hidden="1" customHeight="1">
      <c r="B4" s="49"/>
      <c r="C4" s="49"/>
      <c r="D4" s="49"/>
      <c r="E4" s="49"/>
      <c r="F4" s="49"/>
      <c r="G4" s="49"/>
      <c r="I4" s="20"/>
    </row>
    <row r="5" spans="1:13" ht="31.5" customHeight="1">
      <c r="B5" s="384" t="s">
        <v>161</v>
      </c>
      <c r="C5" s="384"/>
      <c r="D5" s="384"/>
      <c r="E5" s="384"/>
      <c r="F5" s="384"/>
      <c r="G5" s="384"/>
      <c r="I5" s="20"/>
    </row>
    <row r="6" spans="1:13" s="37" customFormat="1" ht="48" customHeight="1">
      <c r="A6" s="79"/>
      <c r="B6" s="47" t="s">
        <v>162</v>
      </c>
      <c r="C6" s="36"/>
      <c r="D6" s="36"/>
      <c r="E6" s="36"/>
      <c r="F6" s="36"/>
      <c r="G6" s="36"/>
      <c r="H6" s="20"/>
      <c r="I6" s="20"/>
      <c r="J6" s="20"/>
    </row>
    <row r="7" spans="1:13" ht="50.1" customHeight="1">
      <c r="B7" s="23" t="s">
        <v>82</v>
      </c>
      <c r="C7" s="23" t="s">
        <v>160</v>
      </c>
      <c r="D7" s="23" t="s">
        <v>84</v>
      </c>
      <c r="E7" s="23" t="s">
        <v>163</v>
      </c>
      <c r="F7" s="385" t="s">
        <v>164</v>
      </c>
      <c r="G7" s="386"/>
      <c r="I7" s="20"/>
    </row>
    <row r="8" spans="1:13" ht="60" customHeight="1">
      <c r="A8" s="109"/>
      <c r="B8" s="75"/>
      <c r="C8" s="75"/>
      <c r="D8" s="46"/>
      <c r="E8" s="119"/>
      <c r="F8" s="100"/>
      <c r="G8" s="121"/>
      <c r="I8" s="20"/>
    </row>
    <row r="9" spans="1:13" ht="60" customHeight="1">
      <c r="A9" s="109"/>
      <c r="B9" s="75"/>
      <c r="C9" s="75"/>
      <c r="D9" s="45"/>
      <c r="E9" s="119"/>
      <c r="F9" s="100"/>
      <c r="G9" s="121"/>
      <c r="I9" s="44"/>
    </row>
    <row r="10" spans="1:13" ht="60" customHeight="1">
      <c r="A10" s="109"/>
      <c r="B10" s="75"/>
      <c r="C10" s="75"/>
      <c r="D10" s="45"/>
      <c r="E10" s="119"/>
      <c r="F10" s="100"/>
      <c r="G10" s="121"/>
      <c r="I10" s="44"/>
    </row>
    <row r="11" spans="1:13" ht="60" customHeight="1">
      <c r="A11" s="109"/>
      <c r="B11" s="75"/>
      <c r="C11" s="75"/>
      <c r="D11" s="45"/>
      <c r="E11" s="119"/>
      <c r="F11" s="100"/>
      <c r="G11" s="121"/>
      <c r="I11" s="44"/>
    </row>
    <row r="12" spans="1:13" ht="60" customHeight="1">
      <c r="A12" s="109"/>
      <c r="B12" s="75"/>
      <c r="C12" s="75"/>
      <c r="D12" s="45"/>
      <c r="E12" s="119"/>
      <c r="F12" s="100"/>
      <c r="G12" s="121"/>
      <c r="I12" s="44"/>
      <c r="J12" s="15"/>
      <c r="M12" s="33"/>
    </row>
    <row r="13" spans="1:13" ht="60" customHeight="1">
      <c r="A13" s="109"/>
      <c r="B13" s="75"/>
      <c r="C13" s="75"/>
      <c r="D13" s="45"/>
      <c r="E13" s="119"/>
      <c r="F13" s="100"/>
      <c r="G13" s="121"/>
      <c r="I13" s="44"/>
    </row>
    <row r="14" spans="1:13" ht="60" customHeight="1">
      <c r="A14" s="109"/>
      <c r="B14" s="75"/>
      <c r="C14" s="75"/>
      <c r="D14" s="45"/>
      <c r="E14" s="119"/>
      <c r="F14" s="100"/>
      <c r="G14" s="121"/>
      <c r="I14" s="44"/>
    </row>
    <row r="15" spans="1:13" ht="60" customHeight="1">
      <c r="A15" s="109"/>
      <c r="B15" s="75"/>
      <c r="C15" s="75"/>
      <c r="D15" s="45"/>
      <c r="E15" s="119"/>
      <c r="F15" s="100"/>
      <c r="G15" s="121"/>
      <c r="I15" s="44"/>
    </row>
    <row r="16" spans="1:13" ht="60" customHeight="1">
      <c r="B16" s="75"/>
      <c r="C16" s="75"/>
      <c r="D16" s="45"/>
      <c r="E16" s="119"/>
      <c r="F16" s="100"/>
      <c r="G16" s="121"/>
      <c r="I16" s="44"/>
    </row>
    <row r="17" spans="1:9" s="37" customFormat="1" ht="42.75" customHeight="1">
      <c r="A17" s="79"/>
      <c r="B17" s="48" t="s">
        <v>285</v>
      </c>
      <c r="C17" s="38"/>
      <c r="D17" s="39"/>
      <c r="E17" s="40"/>
      <c r="F17" s="41"/>
      <c r="G17" s="41"/>
      <c r="I17" s="43"/>
    </row>
    <row r="18" spans="1:9" ht="50.1" customHeight="1">
      <c r="B18" s="23" t="s">
        <v>82</v>
      </c>
      <c r="C18" s="390" t="s">
        <v>84</v>
      </c>
      <c r="D18" s="391"/>
      <c r="E18" s="23" t="s">
        <v>163</v>
      </c>
      <c r="F18" s="385" t="s">
        <v>164</v>
      </c>
      <c r="G18" s="386"/>
    </row>
    <row r="19" spans="1:9" ht="63" customHeight="1">
      <c r="B19" s="77"/>
      <c r="C19" s="388"/>
      <c r="D19" s="389"/>
      <c r="E19" s="120"/>
      <c r="F19" s="101"/>
      <c r="G19" s="121"/>
      <c r="I19" s="78"/>
    </row>
    <row r="20" spans="1:9" ht="63" customHeight="1">
      <c r="B20" s="77"/>
      <c r="C20" s="388"/>
      <c r="D20" s="389"/>
      <c r="E20" s="120"/>
      <c r="F20" s="101"/>
      <c r="G20" s="121"/>
      <c r="I20" s="78"/>
    </row>
    <row r="21" spans="1:9" ht="63" customHeight="1">
      <c r="B21" s="77"/>
      <c r="C21" s="388"/>
      <c r="D21" s="389"/>
      <c r="E21" s="120"/>
      <c r="F21" s="101"/>
      <c r="G21" s="121"/>
      <c r="I21" s="78"/>
    </row>
    <row r="22" spans="1:9" ht="63" customHeight="1">
      <c r="B22" s="77"/>
      <c r="C22" s="388"/>
      <c r="D22" s="389"/>
      <c r="E22" s="120"/>
      <c r="F22" s="101"/>
      <c r="G22" s="121"/>
      <c r="I22" s="78"/>
    </row>
    <row r="23" spans="1:9" ht="63" customHeight="1">
      <c r="B23" s="77"/>
      <c r="C23" s="388"/>
      <c r="D23" s="389"/>
      <c r="E23" s="120"/>
      <c r="F23" s="101"/>
      <c r="G23" s="121"/>
    </row>
    <row r="24" spans="1:9" ht="63" customHeight="1"/>
    <row r="25" spans="1:9" ht="63" customHeight="1"/>
    <row r="26" spans="1:9" ht="63" customHeight="1"/>
    <row r="27" spans="1:9" ht="63" customHeight="1"/>
    <row r="28" spans="1:9" ht="63" customHeight="1"/>
    <row r="29" spans="1:9" ht="63" customHeight="1"/>
    <row r="30" spans="1:9" ht="63" customHeight="1"/>
    <row r="31" spans="1:9" ht="63" customHeight="1"/>
  </sheetData>
  <mergeCells count="11">
    <mergeCell ref="C23:D23"/>
    <mergeCell ref="F18:G18"/>
    <mergeCell ref="C18:D18"/>
    <mergeCell ref="C19:D19"/>
    <mergeCell ref="C20:D20"/>
    <mergeCell ref="C21:D21"/>
    <mergeCell ref="B5:G5"/>
    <mergeCell ref="F7:G7"/>
    <mergeCell ref="F1:G1"/>
    <mergeCell ref="B1:D1"/>
    <mergeCell ref="C22:D22"/>
  </mergeCells>
  <phoneticPr fontId="2"/>
  <printOptions horizontalCentered="1"/>
  <pageMargins left="0.51181102362204722" right="0.51181102362204722" top="0.55118110236220474" bottom="0.55118110236220474" header="0.31496062992125984" footer="0.31496062992125984"/>
  <pageSetup paperSize="9" scale="6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4BDA-5FBC-4C3C-87F8-0397841C8E83}">
  <sheetPr codeName="Sheet6"/>
  <dimension ref="A1:AA36"/>
  <sheetViews>
    <sheetView topLeftCell="C1" workbookViewId="0"/>
  </sheetViews>
  <sheetFormatPr defaultRowHeight="18.75"/>
  <cols>
    <col min="1" max="1" width="1.25" hidden="1" customWidth="1"/>
    <col min="2" max="2" width="1.25" style="106" hidden="1" customWidth="1"/>
    <col min="3" max="3" width="4.625" customWidth="1"/>
    <col min="4" max="26" width="3.625" customWidth="1"/>
    <col min="27" max="27" width="4" customWidth="1"/>
  </cols>
  <sheetData>
    <row r="1" spans="2:27">
      <c r="B1" s="105"/>
      <c r="C1" s="5"/>
      <c r="D1" s="5"/>
      <c r="E1" s="5"/>
      <c r="F1" s="5"/>
      <c r="G1" s="5"/>
      <c r="H1" s="5"/>
      <c r="I1" s="5"/>
      <c r="J1" s="5"/>
      <c r="K1" s="5"/>
      <c r="L1" s="5"/>
      <c r="M1" s="5"/>
      <c r="N1" s="5"/>
      <c r="O1" s="5"/>
      <c r="P1" s="5"/>
      <c r="Q1" s="5"/>
      <c r="R1" s="5"/>
      <c r="S1" s="5"/>
      <c r="T1" s="5"/>
      <c r="U1" s="5"/>
      <c r="V1" s="5"/>
      <c r="W1" s="5"/>
      <c r="X1" s="5"/>
      <c r="Y1" s="5"/>
      <c r="Z1" s="5"/>
      <c r="AA1" s="5"/>
    </row>
    <row r="2" spans="2:27" ht="28.5">
      <c r="C2" s="6" t="s">
        <v>43</v>
      </c>
      <c r="D2" s="5"/>
      <c r="E2" s="5"/>
      <c r="F2" s="5"/>
      <c r="G2" s="5"/>
      <c r="H2" s="5"/>
      <c r="I2" s="5"/>
      <c r="J2" s="5"/>
      <c r="K2" s="5"/>
      <c r="L2" s="5"/>
      <c r="M2" s="5"/>
      <c r="N2" s="5"/>
      <c r="O2" s="5"/>
      <c r="P2" s="5"/>
      <c r="Q2" s="5"/>
      <c r="R2" s="5"/>
      <c r="S2" s="5"/>
      <c r="T2" s="5"/>
      <c r="U2" s="5"/>
      <c r="V2" s="5"/>
      <c r="W2" s="5"/>
      <c r="X2" s="5"/>
      <c r="Y2" s="5"/>
      <c r="Z2" s="5"/>
      <c r="AA2" s="5"/>
    </row>
    <row r="3" spans="2:27">
      <c r="B3" s="105"/>
      <c r="C3" s="5"/>
      <c r="D3" s="5"/>
      <c r="E3" s="5"/>
      <c r="F3" s="5"/>
      <c r="G3" s="5"/>
      <c r="H3" s="5"/>
      <c r="I3" s="5"/>
      <c r="J3" s="5"/>
      <c r="K3" s="5"/>
      <c r="L3" s="5"/>
      <c r="M3" s="5"/>
      <c r="N3" s="5"/>
      <c r="O3" s="5"/>
      <c r="P3" s="5"/>
      <c r="Q3" s="5"/>
      <c r="R3" s="5"/>
      <c r="S3" s="5"/>
      <c r="T3" s="5"/>
      <c r="U3" s="5"/>
      <c r="V3" s="291"/>
      <c r="W3" s="291"/>
      <c r="X3" s="291"/>
      <c r="Y3" s="291"/>
      <c r="Z3" s="291"/>
      <c r="AA3" s="127" t="str">
        <f>IF($V$3="","⇐日付入力","")</f>
        <v>⇐日付入力</v>
      </c>
    </row>
    <row r="4" spans="2:27">
      <c r="C4" s="16"/>
      <c r="D4" s="16"/>
      <c r="E4" s="16"/>
      <c r="F4" s="16"/>
      <c r="G4" s="16"/>
      <c r="H4" s="16"/>
      <c r="I4" s="16"/>
      <c r="J4" s="16"/>
      <c r="K4" s="16"/>
      <c r="L4" s="5"/>
      <c r="M4" s="5"/>
      <c r="N4" s="5"/>
      <c r="O4" s="5"/>
      <c r="P4" s="5"/>
      <c r="Q4" s="5"/>
      <c r="R4" s="5"/>
      <c r="S4" s="5"/>
      <c r="T4" s="5"/>
      <c r="U4" s="5"/>
      <c r="V4" s="5"/>
      <c r="W4" s="5"/>
      <c r="X4" s="5"/>
      <c r="Y4" s="5"/>
      <c r="Z4" s="5"/>
    </row>
    <row r="5" spans="2:27">
      <c r="C5" s="392" t="e">
        <f>IF(VLOOKUP(基本情報入力!$B$15,基本情報入力!$A$23:$K$35,3,FALSE)="","",VLOOKUP(基本情報入力!$B$15,基本情報入力!$A$23:$K$35,3,FALSE))</f>
        <v>#N/A</v>
      </c>
      <c r="D5" s="392"/>
      <c r="E5" s="392"/>
      <c r="F5" s="392"/>
      <c r="G5" s="392"/>
      <c r="H5" s="392"/>
      <c r="I5" s="392"/>
      <c r="J5" s="392"/>
      <c r="K5" s="16"/>
      <c r="M5" s="5"/>
      <c r="N5" s="5"/>
      <c r="O5" s="5"/>
      <c r="P5" s="5"/>
      <c r="Q5" s="5"/>
      <c r="R5" s="5"/>
      <c r="S5" s="5"/>
      <c r="T5" s="5"/>
      <c r="U5" s="5"/>
      <c r="V5" s="5"/>
      <c r="W5" s="5"/>
      <c r="X5" s="5"/>
      <c r="Y5" s="5"/>
      <c r="Z5" s="5"/>
    </row>
    <row r="6" spans="2:27">
      <c r="B6" s="107"/>
      <c r="C6" s="393"/>
      <c r="D6" s="393"/>
      <c r="E6" s="393"/>
      <c r="F6" s="393"/>
      <c r="G6" s="393"/>
      <c r="H6" s="393"/>
      <c r="I6" s="393"/>
      <c r="J6" s="393"/>
      <c r="K6" s="13" t="s">
        <v>54</v>
      </c>
      <c r="L6" s="15"/>
      <c r="M6" s="5"/>
      <c r="N6" s="5"/>
      <c r="O6" s="5"/>
      <c r="P6" s="5"/>
      <c r="Q6" s="5"/>
      <c r="R6" s="5"/>
      <c r="S6" s="5"/>
      <c r="T6" s="5"/>
      <c r="U6" s="5"/>
      <c r="V6" s="5"/>
      <c r="W6" s="5"/>
      <c r="X6" s="5"/>
      <c r="Y6" s="5"/>
      <c r="Z6" s="5"/>
    </row>
    <row r="7" spans="2:27">
      <c r="B7" s="105"/>
      <c r="C7" s="5"/>
      <c r="D7" s="5"/>
      <c r="E7" s="5"/>
      <c r="F7" s="5"/>
      <c r="G7" s="5"/>
      <c r="H7" s="5"/>
      <c r="I7" s="5"/>
      <c r="J7" s="5"/>
      <c r="K7" s="5"/>
      <c r="L7" s="5"/>
      <c r="M7" s="5"/>
      <c r="N7" s="5"/>
      <c r="O7" s="5"/>
      <c r="P7" s="5"/>
      <c r="Q7" s="5"/>
      <c r="R7" s="5"/>
      <c r="S7" s="5"/>
      <c r="T7" s="292" t="s">
        <v>155</v>
      </c>
      <c r="U7" s="292"/>
      <c r="V7" s="292"/>
      <c r="W7" s="292"/>
      <c r="X7" s="292"/>
      <c r="Y7" s="292"/>
      <c r="Z7" s="292"/>
    </row>
    <row r="8" spans="2:27">
      <c r="B8" s="105"/>
      <c r="C8" s="5"/>
      <c r="D8" s="5"/>
      <c r="E8" s="5"/>
      <c r="F8" s="5"/>
      <c r="G8" s="5"/>
      <c r="H8" s="5"/>
      <c r="I8" s="5"/>
      <c r="J8" s="5"/>
      <c r="K8" s="5"/>
      <c r="L8" s="5"/>
      <c r="M8" s="5"/>
      <c r="N8" s="5"/>
      <c r="O8" s="5"/>
      <c r="P8" s="5"/>
      <c r="Q8" s="5"/>
      <c r="R8" s="5"/>
      <c r="S8" s="5"/>
      <c r="W8" s="292" t="s">
        <v>44</v>
      </c>
      <c r="X8" s="292"/>
      <c r="Y8" s="401">
        <f>基本情報入力!$B$13</f>
        <v>0</v>
      </c>
      <c r="Z8" s="401"/>
    </row>
    <row r="9" spans="2:27">
      <c r="C9" s="5" t="s">
        <v>45</v>
      </c>
      <c r="D9" s="5"/>
      <c r="E9" s="5"/>
      <c r="F9" s="5"/>
      <c r="G9" s="5"/>
      <c r="H9" s="5"/>
      <c r="I9" s="5"/>
      <c r="J9" s="5"/>
      <c r="K9" s="5"/>
      <c r="L9" s="5"/>
      <c r="M9" s="5"/>
      <c r="N9" s="5"/>
      <c r="O9" s="5"/>
      <c r="P9" s="5"/>
      <c r="Q9" s="5"/>
      <c r="S9" s="5"/>
      <c r="T9" s="5"/>
      <c r="U9" s="5"/>
      <c r="V9" s="8"/>
      <c r="W9" s="8"/>
      <c r="X9" s="5"/>
      <c r="Y9" s="5"/>
      <c r="Z9" s="18" t="e">
        <f>VLOOKUP(基本情報入力!$B$12,基本情報入力!$N$47:$S$81,2,FALSE)</f>
        <v>#N/A</v>
      </c>
    </row>
    <row r="10" spans="2:27">
      <c r="C10" s="5" t="s">
        <v>46</v>
      </c>
      <c r="D10" s="5"/>
      <c r="E10" s="5"/>
      <c r="F10" s="5"/>
      <c r="G10" s="5"/>
      <c r="H10" s="5"/>
      <c r="I10" s="5"/>
      <c r="J10" s="5"/>
      <c r="K10" s="5"/>
      <c r="L10" s="5"/>
      <c r="M10" s="5"/>
      <c r="N10" s="5"/>
      <c r="O10" s="5"/>
      <c r="P10" s="5"/>
      <c r="Q10" s="5"/>
      <c r="R10" s="5"/>
      <c r="S10" s="5"/>
      <c r="T10" s="5"/>
      <c r="U10" s="5"/>
      <c r="V10" s="5"/>
      <c r="W10" s="5"/>
      <c r="X10" s="5"/>
      <c r="Y10" s="5"/>
      <c r="Z10" s="8" t="e">
        <f>VLOOKUP(基本情報入力!$B$12,基本情報入力!$N$47:$S$81,3,FALSE)</f>
        <v>#N/A</v>
      </c>
    </row>
    <row r="11" spans="2:27">
      <c r="C11" s="5" t="s">
        <v>47</v>
      </c>
      <c r="D11" s="5"/>
      <c r="E11" s="5"/>
      <c r="F11" s="5"/>
      <c r="G11" s="5"/>
      <c r="H11" s="5"/>
      <c r="I11" s="5"/>
      <c r="J11" s="5"/>
      <c r="K11" s="5"/>
      <c r="L11" s="5"/>
      <c r="M11" s="5"/>
      <c r="N11" s="5"/>
      <c r="O11" s="5"/>
      <c r="P11" s="5"/>
      <c r="Q11" s="5"/>
      <c r="R11" s="5"/>
      <c r="S11" s="5"/>
      <c r="T11" s="5"/>
      <c r="U11" s="5"/>
      <c r="V11" s="5"/>
      <c r="W11" s="5"/>
      <c r="X11" s="5"/>
      <c r="Y11" s="5"/>
      <c r="Z11" s="8" t="e">
        <f>VLOOKUP(基本情報入力!$B$12,基本情報入力!$N$47:$S$81,4,FALSE)</f>
        <v>#N/A</v>
      </c>
    </row>
    <row r="12" spans="2:27">
      <c r="B12" s="105"/>
      <c r="C12" s="5"/>
      <c r="D12" s="5"/>
      <c r="E12" s="5"/>
      <c r="F12" s="5"/>
      <c r="G12" s="5"/>
      <c r="H12" s="5"/>
      <c r="I12" s="5"/>
      <c r="J12" s="5"/>
      <c r="K12" s="5"/>
      <c r="L12" s="5"/>
      <c r="M12" s="5"/>
      <c r="N12" s="5"/>
      <c r="O12" s="5"/>
      <c r="P12" s="5"/>
      <c r="Q12" s="5"/>
      <c r="S12" s="5"/>
      <c r="V12" s="8" t="s">
        <v>48</v>
      </c>
      <c r="W12" s="402" t="e">
        <f>VLOOKUP(基本情報入力!$B$13,基本情報入力!$G$48:$H$80,2,FALSE)</f>
        <v>#N/A</v>
      </c>
      <c r="X12" s="402"/>
      <c r="Y12" s="402"/>
      <c r="Z12" s="402"/>
    </row>
    <row r="13" spans="2:27">
      <c r="B13" s="105"/>
      <c r="C13" s="5"/>
      <c r="D13" s="5"/>
      <c r="E13" s="5"/>
      <c r="F13" s="5"/>
      <c r="G13" s="5"/>
      <c r="H13" s="5"/>
      <c r="I13" s="5"/>
      <c r="J13" s="5"/>
      <c r="K13" s="5"/>
      <c r="L13" s="5"/>
      <c r="M13" s="5"/>
      <c r="N13" s="5"/>
      <c r="O13" s="5"/>
      <c r="P13" s="5"/>
      <c r="Q13" s="5"/>
      <c r="S13" s="5"/>
      <c r="V13" s="8" t="s">
        <v>49</v>
      </c>
      <c r="W13" s="402" t="e">
        <f>VLOOKUP(基本情報入力!$B$12,基本情報入力!$N$48:$S$81,6,FALSE)</f>
        <v>#N/A</v>
      </c>
      <c r="X13" s="402"/>
      <c r="Y13" s="402"/>
      <c r="Z13" s="402"/>
    </row>
    <row r="14" spans="2:27" ht="12.75" customHeight="1">
      <c r="B14" s="105"/>
      <c r="C14" s="5"/>
      <c r="D14" s="5"/>
      <c r="E14" s="5"/>
      <c r="F14" s="5"/>
      <c r="G14" s="5"/>
      <c r="H14" s="5"/>
      <c r="I14" s="5"/>
      <c r="J14" s="5"/>
      <c r="K14" s="5"/>
      <c r="L14" s="5"/>
      <c r="M14" s="5"/>
      <c r="N14" s="5"/>
      <c r="O14" s="5"/>
      <c r="P14" s="5"/>
      <c r="Q14" s="5"/>
      <c r="R14" s="5"/>
      <c r="S14" s="5"/>
      <c r="T14" s="5"/>
      <c r="U14" s="5"/>
      <c r="V14" s="5"/>
      <c r="W14" s="5"/>
      <c r="X14" s="5"/>
      <c r="Y14" s="5"/>
      <c r="Z14" s="5"/>
      <c r="AA14" s="5"/>
    </row>
    <row r="15" spans="2:27">
      <c r="C15" s="394" t="s">
        <v>50</v>
      </c>
      <c r="D15" s="394"/>
      <c r="E15" s="394"/>
      <c r="F15" s="394"/>
      <c r="G15" s="394"/>
      <c r="H15" s="394"/>
      <c r="I15" s="394"/>
      <c r="J15" s="394"/>
      <c r="K15" s="394"/>
      <c r="L15" s="394"/>
      <c r="M15" s="394"/>
      <c r="N15" s="394"/>
      <c r="O15" s="394"/>
      <c r="P15" s="394"/>
      <c r="Q15" s="394"/>
      <c r="R15" s="394"/>
      <c r="S15" s="394"/>
      <c r="T15" s="394"/>
      <c r="U15" s="394"/>
      <c r="V15" s="394"/>
      <c r="W15" s="394"/>
      <c r="X15" s="394"/>
      <c r="Y15" s="394"/>
      <c r="Z15" s="394"/>
      <c r="AA15" s="5"/>
    </row>
    <row r="16" spans="2:27" ht="12.75" customHeight="1">
      <c r="B16" s="105"/>
      <c r="C16" s="5"/>
      <c r="D16" s="5"/>
      <c r="E16" s="5"/>
      <c r="F16" s="5"/>
      <c r="G16" s="5"/>
      <c r="H16" s="5"/>
      <c r="I16" s="5"/>
      <c r="J16" s="5"/>
      <c r="K16" s="5"/>
      <c r="L16" s="5"/>
      <c r="M16" s="5"/>
      <c r="N16" s="5"/>
      <c r="O16" s="5"/>
      <c r="P16" s="5"/>
      <c r="Q16" s="5"/>
      <c r="R16" s="5"/>
      <c r="S16" s="5"/>
      <c r="T16" s="5"/>
      <c r="U16" s="5"/>
      <c r="V16" s="5"/>
      <c r="W16" s="5"/>
      <c r="X16" s="5"/>
      <c r="Y16" s="5"/>
      <c r="Z16" s="5"/>
      <c r="AA16" s="5"/>
    </row>
    <row r="17" spans="1:27">
      <c r="B17" s="105"/>
      <c r="C17" s="296" t="s">
        <v>51</v>
      </c>
      <c r="D17" s="298"/>
      <c r="E17" s="298"/>
      <c r="F17" s="298"/>
      <c r="G17" s="298"/>
      <c r="H17" s="298"/>
      <c r="I17" s="298"/>
      <c r="J17" s="298"/>
      <c r="K17" s="298"/>
      <c r="L17" s="298"/>
      <c r="M17" s="298"/>
      <c r="N17" s="298"/>
      <c r="O17" s="298"/>
      <c r="P17" s="298"/>
      <c r="Q17" s="298"/>
      <c r="R17" s="298"/>
      <c r="S17" s="298"/>
      <c r="T17" s="298"/>
      <c r="U17" s="298"/>
      <c r="V17" s="300"/>
      <c r="W17" s="296" t="s">
        <v>52</v>
      </c>
      <c r="X17" s="298"/>
      <c r="Y17" s="298"/>
      <c r="Z17" s="300"/>
      <c r="AA17" s="9"/>
    </row>
    <row r="18" spans="1:27" ht="27.75" customHeight="1">
      <c r="A18" s="5"/>
      <c r="B18" s="108" t="str">
        <f t="shared" ref="B18:B28" si="0">$D18&amp;""</f>
        <v>法定相続情報一覧図</v>
      </c>
      <c r="C18" s="122" t="str">
        <f>IF($D18="","",基本情報入力!$F9)</f>
        <v>⑴</v>
      </c>
      <c r="D18" s="123" t="s">
        <v>286</v>
      </c>
      <c r="E18" s="123"/>
      <c r="F18" s="123"/>
      <c r="G18" s="123"/>
      <c r="H18" s="123"/>
      <c r="I18" s="123"/>
      <c r="J18" s="123"/>
      <c r="K18" s="123"/>
      <c r="L18" s="123"/>
      <c r="M18" s="123"/>
      <c r="N18" s="123"/>
      <c r="O18" s="11"/>
      <c r="P18" s="5"/>
      <c r="Q18" s="5"/>
      <c r="R18" s="5"/>
      <c r="S18" s="5"/>
      <c r="T18" s="5"/>
      <c r="U18" s="5"/>
      <c r="V18" s="5"/>
      <c r="W18" s="103"/>
      <c r="X18" s="110"/>
      <c r="Y18" s="118" t="str">
        <f>IF($X18="","","通")</f>
        <v/>
      </c>
      <c r="Z18" s="104"/>
      <c r="AA18" s="5"/>
    </row>
    <row r="19" spans="1:27" ht="27.75" customHeight="1">
      <c r="A19" s="5"/>
      <c r="B19" s="108" t="str">
        <f t="shared" si="0"/>
        <v/>
      </c>
      <c r="C19" s="122" t="str">
        <f>IF($D19="","",基本情報入力!$F10)</f>
        <v/>
      </c>
      <c r="D19" s="124"/>
      <c r="E19" s="124"/>
      <c r="F19" s="124"/>
      <c r="G19" s="124"/>
      <c r="H19" s="124"/>
      <c r="I19" s="124"/>
      <c r="J19" s="124"/>
      <c r="K19" s="124"/>
      <c r="L19" s="124"/>
      <c r="M19" s="124"/>
      <c r="N19" s="124"/>
      <c r="O19" s="22"/>
      <c r="P19" s="5"/>
      <c r="Q19" s="5"/>
      <c r="R19" s="5"/>
      <c r="S19" s="5"/>
      <c r="T19" s="5"/>
      <c r="U19" s="5"/>
      <c r="V19" s="5"/>
      <c r="W19" s="103"/>
      <c r="X19" s="110"/>
      <c r="Y19" s="118" t="str">
        <f t="shared" ref="Y19:Y26" si="1">IF($X19="","","通")</f>
        <v/>
      </c>
      <c r="Z19" s="104"/>
      <c r="AA19" s="5"/>
    </row>
    <row r="20" spans="1:27" ht="27.75" customHeight="1">
      <c r="A20" s="5"/>
      <c r="B20" s="108" t="str">
        <f t="shared" si="0"/>
        <v/>
      </c>
      <c r="C20" s="122" t="str">
        <f>IF($D20="","",基本情報入力!$F11)</f>
        <v/>
      </c>
      <c r="D20" s="125"/>
      <c r="E20" s="125"/>
      <c r="F20" s="125"/>
      <c r="G20" s="125"/>
      <c r="H20" s="125"/>
      <c r="I20" s="125"/>
      <c r="J20" s="125"/>
      <c r="K20" s="125"/>
      <c r="L20" s="125"/>
      <c r="M20" s="125"/>
      <c r="N20" s="125"/>
      <c r="O20" s="7"/>
      <c r="P20" s="5"/>
      <c r="Q20" s="5"/>
      <c r="R20" s="5"/>
      <c r="S20" s="5"/>
      <c r="T20" s="5"/>
      <c r="U20" s="5"/>
      <c r="V20" s="5"/>
      <c r="W20" s="103"/>
      <c r="X20" s="110"/>
      <c r="Y20" s="118" t="str">
        <f t="shared" si="1"/>
        <v/>
      </c>
      <c r="Z20" s="104"/>
      <c r="AA20" s="5"/>
    </row>
    <row r="21" spans="1:27" ht="27.75" customHeight="1">
      <c r="A21" s="5"/>
      <c r="B21" s="108" t="str">
        <f t="shared" si="0"/>
        <v/>
      </c>
      <c r="C21" s="122" t="str">
        <f>IF($D21="","",基本情報入力!$F12)</f>
        <v/>
      </c>
      <c r="D21" s="125"/>
      <c r="E21" s="125"/>
      <c r="F21" s="125"/>
      <c r="G21" s="125"/>
      <c r="H21" s="125"/>
      <c r="I21" s="125"/>
      <c r="J21" s="125"/>
      <c r="K21" s="125"/>
      <c r="L21" s="125"/>
      <c r="M21" s="125"/>
      <c r="N21" s="125"/>
      <c r="O21" s="7"/>
      <c r="P21" s="7"/>
      <c r="Q21" s="7"/>
      <c r="R21" s="7"/>
      <c r="S21" s="7"/>
      <c r="T21" s="7"/>
      <c r="U21" s="7"/>
      <c r="V21" s="7"/>
      <c r="W21" s="103"/>
      <c r="X21" s="110"/>
      <c r="Y21" s="118" t="str">
        <f t="shared" si="1"/>
        <v/>
      </c>
      <c r="Z21" s="104"/>
      <c r="AA21" s="5"/>
    </row>
    <row r="22" spans="1:27" ht="27.75" customHeight="1">
      <c r="A22" s="5"/>
      <c r="B22" s="108" t="str">
        <f t="shared" si="0"/>
        <v/>
      </c>
      <c r="C22" s="122" t="str">
        <f>IF($D22="","",基本情報入力!$F13)</f>
        <v/>
      </c>
      <c r="D22" s="125"/>
      <c r="E22" s="125"/>
      <c r="F22" s="125"/>
      <c r="G22" s="125"/>
      <c r="H22" s="125"/>
      <c r="I22" s="125"/>
      <c r="J22" s="125"/>
      <c r="K22" s="125"/>
      <c r="L22" s="125"/>
      <c r="M22" s="125"/>
      <c r="N22" s="125"/>
      <c r="O22" s="7"/>
      <c r="P22" s="7"/>
      <c r="Q22" s="7"/>
      <c r="R22" s="7"/>
      <c r="S22" s="7"/>
      <c r="T22" s="7"/>
      <c r="U22" s="7"/>
      <c r="V22" s="7"/>
      <c r="W22" s="103"/>
      <c r="X22" s="110"/>
      <c r="Y22" s="118" t="str">
        <f>IF($X22="","","通")</f>
        <v/>
      </c>
      <c r="Z22" s="104"/>
      <c r="AA22" s="5"/>
    </row>
    <row r="23" spans="1:27" ht="27.75" customHeight="1">
      <c r="A23" s="5"/>
      <c r="B23" s="108" t="str">
        <f t="shared" si="0"/>
        <v/>
      </c>
      <c r="C23" s="122" t="str">
        <f>IF($D23="","",基本情報入力!$F14)</f>
        <v/>
      </c>
      <c r="D23" s="125"/>
      <c r="E23" s="125"/>
      <c r="F23" s="125"/>
      <c r="G23" s="125"/>
      <c r="H23" s="125"/>
      <c r="I23" s="125"/>
      <c r="J23" s="125"/>
      <c r="K23" s="125"/>
      <c r="L23" s="125"/>
      <c r="M23" s="125"/>
      <c r="N23" s="125"/>
      <c r="O23" s="7"/>
      <c r="P23" s="14"/>
      <c r="Q23" s="14"/>
      <c r="R23" s="14"/>
      <c r="S23" s="14"/>
      <c r="T23" s="14"/>
      <c r="U23" s="14"/>
      <c r="V23" s="14"/>
      <c r="W23" s="103"/>
      <c r="X23" s="110"/>
      <c r="Y23" s="118" t="str">
        <f t="shared" si="1"/>
        <v/>
      </c>
      <c r="Z23" s="104"/>
      <c r="AA23" s="5"/>
    </row>
    <row r="24" spans="1:27" ht="27.75" customHeight="1">
      <c r="A24" s="5"/>
      <c r="B24" s="108" t="str">
        <f t="shared" si="0"/>
        <v/>
      </c>
      <c r="C24" s="122" t="str">
        <f>IF($D24="","",基本情報入力!$F15)</f>
        <v/>
      </c>
      <c r="D24" s="125"/>
      <c r="E24" s="125"/>
      <c r="F24" s="125"/>
      <c r="G24" s="125"/>
      <c r="H24" s="125"/>
      <c r="I24" s="125"/>
      <c r="J24" s="125"/>
      <c r="K24" s="125"/>
      <c r="L24" s="125"/>
      <c r="M24" s="125"/>
      <c r="N24" s="125"/>
      <c r="O24" s="7"/>
      <c r="P24" s="14"/>
      <c r="Q24" s="14"/>
      <c r="R24" s="14"/>
      <c r="S24" s="14"/>
      <c r="T24" s="14"/>
      <c r="U24" s="14"/>
      <c r="V24" s="14"/>
      <c r="W24" s="103"/>
      <c r="X24" s="110"/>
      <c r="Y24" s="118" t="str">
        <f t="shared" si="1"/>
        <v/>
      </c>
      <c r="Z24" s="104"/>
      <c r="AA24" s="5"/>
    </row>
    <row r="25" spans="1:27" ht="27.75" customHeight="1">
      <c r="A25" s="5"/>
      <c r="B25" s="108" t="str">
        <f t="shared" si="0"/>
        <v/>
      </c>
      <c r="C25" s="122" t="str">
        <f>IF($D25="","",基本情報入力!$F16)</f>
        <v/>
      </c>
      <c r="D25" s="125"/>
      <c r="E25" s="125"/>
      <c r="F25" s="125"/>
      <c r="G25" s="125"/>
      <c r="H25" s="125"/>
      <c r="I25" s="125"/>
      <c r="J25" s="125"/>
      <c r="K25" s="125"/>
      <c r="L25" s="125"/>
      <c r="M25" s="125"/>
      <c r="N25" s="125"/>
      <c r="O25" s="7"/>
      <c r="P25" s="14"/>
      <c r="Q25" s="14"/>
      <c r="R25" s="14"/>
      <c r="S25" s="14"/>
      <c r="T25" s="14"/>
      <c r="U25" s="14"/>
      <c r="V25" s="14"/>
      <c r="W25" s="103"/>
      <c r="X25" s="110"/>
      <c r="Y25" s="118" t="str">
        <f t="shared" si="1"/>
        <v/>
      </c>
      <c r="Z25" s="104"/>
      <c r="AA25" s="5"/>
    </row>
    <row r="26" spans="1:27" ht="27.75" customHeight="1">
      <c r="A26" s="5"/>
      <c r="B26" s="108" t="str">
        <f t="shared" si="0"/>
        <v>返信用封筒(書類の返送にご使用ください)</v>
      </c>
      <c r="C26" s="9" t="str">
        <f>IF($D26="","",基本情報入力!$F17)</f>
        <v>⑼</v>
      </c>
      <c r="D26" s="7" t="str">
        <f>IF(基本情報入力!$G17="","",基本情報入力!$G17)</f>
        <v>返信用封筒(書類の返送にご使用ください)</v>
      </c>
      <c r="E26" s="7"/>
      <c r="F26" s="7"/>
      <c r="G26" s="7"/>
      <c r="H26" s="7"/>
      <c r="I26" s="7"/>
      <c r="J26" s="7"/>
      <c r="K26" s="7"/>
      <c r="L26" s="7"/>
      <c r="M26" s="7"/>
      <c r="N26" s="7"/>
      <c r="O26" s="7"/>
      <c r="P26" s="14"/>
      <c r="Q26" s="14"/>
      <c r="R26" s="14"/>
      <c r="S26" s="14"/>
      <c r="T26" s="14"/>
      <c r="U26" s="14"/>
      <c r="V26" s="14"/>
      <c r="W26" s="103"/>
      <c r="X26" s="110"/>
      <c r="Y26" s="118" t="str">
        <f t="shared" si="1"/>
        <v/>
      </c>
      <c r="Z26" s="104"/>
      <c r="AA26" s="5"/>
    </row>
    <row r="27" spans="1:27" ht="27.75" customHeight="1">
      <c r="A27" s="5"/>
      <c r="B27" s="108" t="str">
        <f t="shared" si="0"/>
        <v/>
      </c>
      <c r="C27" s="9" t="str">
        <f>IF($D27="","",基本情報入力!$F18)</f>
        <v/>
      </c>
      <c r="D27" s="7" t="str">
        <f>IF(基本情報入力!$G18="","",基本情報入力!$G18)</f>
        <v/>
      </c>
      <c r="E27" s="7"/>
      <c r="F27" s="7"/>
      <c r="G27" s="7"/>
      <c r="H27" s="7"/>
      <c r="I27" s="7"/>
      <c r="J27" s="7"/>
      <c r="K27" s="7"/>
      <c r="L27" s="7"/>
      <c r="M27" s="7"/>
      <c r="N27" s="7"/>
      <c r="O27" s="7"/>
      <c r="P27" s="14"/>
      <c r="Q27" s="14"/>
      <c r="R27" s="14"/>
      <c r="S27" s="14"/>
      <c r="T27" s="14"/>
      <c r="U27" s="14"/>
      <c r="V27" s="14"/>
      <c r="W27" s="103"/>
      <c r="X27" s="110"/>
      <c r="Y27" s="118" t="str">
        <f>IF($X27="","","通")</f>
        <v/>
      </c>
      <c r="Z27" s="104"/>
      <c r="AA27" s="5"/>
    </row>
    <row r="28" spans="1:27" ht="27.75" customHeight="1">
      <c r="A28" s="5"/>
      <c r="B28" s="108" t="str">
        <f t="shared" si="0"/>
        <v/>
      </c>
      <c r="C28" s="9" t="str">
        <f>IF($D28="","",基本情報入力!$F19)</f>
        <v/>
      </c>
      <c r="D28" s="7" t="str">
        <f>IF(基本情報入力!$G19="","",基本情報入力!$G19)</f>
        <v/>
      </c>
      <c r="E28" s="7"/>
      <c r="F28" s="7"/>
      <c r="G28" s="7"/>
      <c r="H28" s="7"/>
      <c r="I28" s="7"/>
      <c r="J28" s="7"/>
      <c r="K28" s="7"/>
      <c r="L28" s="7"/>
      <c r="M28" s="7"/>
      <c r="N28" s="7"/>
      <c r="O28" s="7"/>
      <c r="P28" s="14"/>
      <c r="Q28" s="14"/>
      <c r="R28" s="14"/>
      <c r="S28" s="14"/>
      <c r="T28" s="14"/>
      <c r="U28" s="14"/>
      <c r="V28" s="14"/>
      <c r="W28" s="103"/>
      <c r="X28" s="110"/>
      <c r="Y28" s="118" t="str">
        <f>IF($X28="","","通")</f>
        <v/>
      </c>
      <c r="Z28" s="104"/>
      <c r="AA28" s="5"/>
    </row>
    <row r="29" spans="1:27" ht="22.5" customHeight="1">
      <c r="B29" s="105"/>
      <c r="C29" s="10" t="s">
        <v>53</v>
      </c>
      <c r="D29" s="11"/>
      <c r="E29" s="11"/>
      <c r="F29" s="11"/>
      <c r="G29" s="11"/>
      <c r="H29" s="11"/>
      <c r="I29" s="11"/>
      <c r="J29" s="11"/>
      <c r="K29" s="11"/>
      <c r="L29" s="11"/>
      <c r="M29" s="11"/>
      <c r="N29" s="11"/>
      <c r="O29" s="11"/>
      <c r="P29" s="11"/>
      <c r="Q29" s="11"/>
      <c r="R29" s="11"/>
      <c r="S29" s="11"/>
      <c r="T29" s="11"/>
      <c r="U29" s="11"/>
      <c r="V29" s="11"/>
      <c r="W29" s="11"/>
      <c r="X29" s="11"/>
      <c r="Y29" s="11"/>
      <c r="Z29" s="12"/>
      <c r="AA29" s="5"/>
    </row>
    <row r="30" spans="1:27" ht="66.75" customHeight="1">
      <c r="B30" s="105"/>
      <c r="C30" s="395" t="s">
        <v>287</v>
      </c>
      <c r="D30" s="396"/>
      <c r="E30" s="396"/>
      <c r="F30" s="396"/>
      <c r="G30" s="396"/>
      <c r="H30" s="396"/>
      <c r="I30" s="396"/>
      <c r="J30" s="396"/>
      <c r="K30" s="396"/>
      <c r="L30" s="396"/>
      <c r="M30" s="396"/>
      <c r="N30" s="396"/>
      <c r="O30" s="396"/>
      <c r="P30" s="396"/>
      <c r="Q30" s="396"/>
      <c r="R30" s="396"/>
      <c r="S30" s="396"/>
      <c r="T30" s="396"/>
      <c r="U30" s="396"/>
      <c r="V30" s="396"/>
      <c r="W30" s="396"/>
      <c r="X30" s="396"/>
      <c r="Y30" s="396"/>
      <c r="Z30" s="397"/>
      <c r="AA30" s="5"/>
    </row>
    <row r="31" spans="1:27" ht="96.95" customHeight="1">
      <c r="B31" s="105"/>
      <c r="C31" s="398"/>
      <c r="D31" s="399"/>
      <c r="E31" s="399"/>
      <c r="F31" s="399"/>
      <c r="G31" s="399"/>
      <c r="H31" s="399"/>
      <c r="I31" s="399"/>
      <c r="J31" s="399"/>
      <c r="K31" s="399"/>
      <c r="L31" s="399"/>
      <c r="M31" s="399"/>
      <c r="N31" s="399"/>
      <c r="O31" s="399"/>
      <c r="P31" s="399"/>
      <c r="Q31" s="399"/>
      <c r="R31" s="399"/>
      <c r="S31" s="399"/>
      <c r="T31" s="399"/>
      <c r="U31" s="399"/>
      <c r="V31" s="399"/>
      <c r="W31" s="399"/>
      <c r="X31" s="399"/>
      <c r="Y31" s="399"/>
      <c r="Z31" s="400"/>
      <c r="AA31" s="5"/>
    </row>
    <row r="32" spans="1:27">
      <c r="B32" s="105"/>
      <c r="C32" s="5"/>
      <c r="D32" s="5"/>
      <c r="E32" s="5"/>
      <c r="F32" s="5"/>
      <c r="G32" s="5"/>
      <c r="H32" s="5"/>
      <c r="I32" s="5"/>
      <c r="J32" s="5"/>
      <c r="K32" s="5"/>
      <c r="L32" s="5"/>
      <c r="M32" s="5"/>
      <c r="N32" s="5"/>
      <c r="O32" s="5"/>
      <c r="P32" s="5"/>
      <c r="Q32" s="5"/>
      <c r="R32" s="5"/>
      <c r="S32" s="5"/>
      <c r="T32" s="5"/>
      <c r="U32" s="5"/>
      <c r="V32" s="5"/>
      <c r="W32" s="5"/>
      <c r="X32" s="5"/>
      <c r="Y32" s="5"/>
      <c r="Z32" s="5"/>
      <c r="AA32" s="5"/>
    </row>
    <row r="33" spans="2:27">
      <c r="B33" s="105"/>
      <c r="C33" s="5"/>
      <c r="D33" s="5"/>
      <c r="E33" s="5"/>
      <c r="F33" s="5"/>
      <c r="G33" s="5"/>
      <c r="H33" s="5"/>
      <c r="I33" s="5"/>
      <c r="J33" s="5"/>
      <c r="K33" s="5"/>
      <c r="L33" s="5"/>
      <c r="M33" s="5"/>
      <c r="N33" s="5"/>
      <c r="O33" s="5"/>
      <c r="P33" s="5"/>
      <c r="Q33" s="5"/>
      <c r="R33" s="5"/>
      <c r="S33" s="5"/>
      <c r="T33" s="5"/>
      <c r="U33" s="5"/>
      <c r="V33" s="5"/>
      <c r="W33" s="5"/>
      <c r="X33" s="5"/>
      <c r="Y33" s="5"/>
      <c r="Z33" s="5"/>
      <c r="AA33" s="5"/>
    </row>
    <row r="34" spans="2:27">
      <c r="B34" s="105"/>
      <c r="C34" s="5"/>
      <c r="D34" s="5"/>
      <c r="E34" s="5"/>
      <c r="F34" s="5"/>
      <c r="G34" s="5"/>
      <c r="H34" s="5"/>
      <c r="I34" s="5"/>
      <c r="J34" s="5"/>
      <c r="K34" s="5"/>
      <c r="L34" s="5"/>
      <c r="M34" s="5"/>
      <c r="N34" s="5"/>
      <c r="O34" s="5"/>
      <c r="P34" s="5"/>
      <c r="Q34" s="5"/>
      <c r="R34" s="5"/>
      <c r="S34" s="5"/>
      <c r="T34" s="5"/>
      <c r="U34" s="5"/>
      <c r="V34" s="5"/>
      <c r="W34" s="5"/>
      <c r="X34" s="5"/>
      <c r="Y34" s="5"/>
      <c r="Z34" s="5"/>
      <c r="AA34" s="5"/>
    </row>
    <row r="35" spans="2:27">
      <c r="B35" s="105"/>
      <c r="C35" s="5"/>
      <c r="D35" s="5"/>
      <c r="E35" s="5"/>
      <c r="F35" s="5"/>
      <c r="G35" s="5"/>
      <c r="H35" s="5"/>
      <c r="I35" s="5"/>
      <c r="J35" s="5"/>
      <c r="K35" s="5"/>
      <c r="L35" s="5"/>
      <c r="M35" s="5"/>
      <c r="N35" s="5"/>
      <c r="O35" s="5"/>
      <c r="P35" s="5"/>
      <c r="Q35" s="5"/>
      <c r="R35" s="5"/>
      <c r="S35" s="5"/>
      <c r="T35" s="5"/>
      <c r="U35" s="5"/>
      <c r="V35" s="5"/>
      <c r="W35" s="5"/>
      <c r="X35" s="5"/>
      <c r="Y35" s="5"/>
      <c r="Z35" s="5"/>
      <c r="AA35" s="5"/>
    </row>
    <row r="36" spans="2:27">
      <c r="B36" s="105"/>
      <c r="C36" s="5"/>
      <c r="D36" s="5"/>
      <c r="E36" s="5"/>
      <c r="F36" s="5"/>
      <c r="G36" s="5"/>
      <c r="H36" s="5"/>
      <c r="I36" s="5"/>
      <c r="J36" s="5"/>
      <c r="K36" s="5"/>
      <c r="L36" s="5"/>
      <c r="M36" s="5"/>
      <c r="N36" s="5"/>
      <c r="O36" s="5"/>
      <c r="P36" s="5"/>
      <c r="Q36" s="5"/>
      <c r="R36" s="5"/>
      <c r="S36" s="5"/>
      <c r="T36" s="5"/>
      <c r="U36" s="5"/>
      <c r="V36" s="5"/>
      <c r="W36" s="5"/>
      <c r="X36" s="5"/>
      <c r="Y36" s="5"/>
      <c r="Z36" s="5"/>
      <c r="AA36" s="5"/>
    </row>
  </sheetData>
  <mergeCells count="11">
    <mergeCell ref="C5:J6"/>
    <mergeCell ref="C15:Z15"/>
    <mergeCell ref="T7:Z7"/>
    <mergeCell ref="C30:Z31"/>
    <mergeCell ref="V3:Z3"/>
    <mergeCell ref="Y8:Z8"/>
    <mergeCell ref="W8:X8"/>
    <mergeCell ref="W12:Z12"/>
    <mergeCell ref="W17:Z17"/>
    <mergeCell ref="C17:V17"/>
    <mergeCell ref="W13:Z13"/>
  </mergeCells>
  <phoneticPr fontId="2"/>
  <conditionalFormatting sqref="V3:Z3">
    <cfRule type="expression" dxfId="0" priority="2">
      <formula>$V$3=""</formula>
    </cfRule>
  </conditionalFormatting>
  <printOptions horizontalCentered="1"/>
  <pageMargins left="0.51181102362204722" right="0.51181102362204722" top="0.55118110236220474" bottom="0.55118110236220474" header="0.31496062992125984" footer="0.31496062992125984"/>
  <pageSetup paperSize="9" scale="9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9</vt:i4>
      </vt:variant>
    </vt:vector>
  </HeadingPairs>
  <TitlesOfParts>
    <vt:vector size="22" baseType="lpstr">
      <vt:lpstr>解約情報入力</vt:lpstr>
      <vt:lpstr>基本情報入力</vt:lpstr>
      <vt:lpstr>送付状・返送書類リスト</vt:lpstr>
      <vt:lpstr>委任状</vt:lpstr>
      <vt:lpstr>銀行口座</vt:lpstr>
      <vt:lpstr>証券口座</vt:lpstr>
      <vt:lpstr>銀行口座 (ゆうちょが他行OKになったら)</vt:lpstr>
      <vt:lpstr>証券代行部</vt:lpstr>
      <vt:lpstr>協議後のスケジュール</vt:lpstr>
      <vt:lpstr>送付先宛名シール（個別）</vt:lpstr>
      <vt:lpstr>プルダウン</vt:lpstr>
      <vt:lpstr>返送書類リスト(ひな型)</vt:lpstr>
      <vt:lpstr>送付状(法定)</vt:lpstr>
      <vt:lpstr>委任状!Print_Area</vt:lpstr>
      <vt:lpstr>基本情報入力!Print_Area</vt:lpstr>
      <vt:lpstr>証券口座!Print_Area</vt:lpstr>
      <vt:lpstr>証券代行部!Print_Area</vt:lpstr>
      <vt:lpstr>'送付状(法定)'!Print_Area</vt:lpstr>
      <vt:lpstr>送付状・返送書類リスト!Print_Area</vt:lpstr>
      <vt:lpstr>'送付先宛名シール（個別）'!Print_Area</vt:lpstr>
      <vt:lpstr>'返送書類リスト(ひな型)'!Print_Area</vt:lpstr>
      <vt:lpstr>担当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君島 絵梨</dc:creator>
  <cp:lastModifiedBy>宮城 明香</cp:lastModifiedBy>
  <cp:lastPrinted>2025-11-10T00:06:33Z</cp:lastPrinted>
  <dcterms:created xsi:type="dcterms:W3CDTF">2024-06-15T00:19:52Z</dcterms:created>
  <dcterms:modified xsi:type="dcterms:W3CDTF">2025-11-10T00:06:49Z</dcterms:modified>
</cp:coreProperties>
</file>