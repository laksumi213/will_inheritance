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drawings/drawing3.xml" ContentType="application/vnd.openxmlformats-officedocument.drawing+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drawings/drawing4.xml" ContentType="application/vnd.openxmlformats-officedocument.drawing+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drawings/drawing5.xml" ContentType="application/vnd.openxmlformats-officedocument.drawing+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192.168.11.20\行政書士法人チェスター\01.個別ＪＯＢ\■■■■■■遺言 コピー用■■■■■■\"/>
    </mc:Choice>
  </mc:AlternateContent>
  <xr:revisionPtr revIDLastSave="0" documentId="13_ncr:1_{48946E04-D18C-4FD7-A6F8-1409ED28AAB9}" xr6:coauthVersionLast="47" xr6:coauthVersionMax="47" xr10:uidLastSave="{00000000-0000-0000-0000-000000000000}"/>
  <bookViews>
    <workbookView xWindow="-120" yWindow="-120" windowWidth="24240" windowHeight="13740" xr2:uid="{F80E72B2-5AEE-41F5-9016-AE21178BE927}"/>
  </bookViews>
  <sheets>
    <sheet name="基本画面" sheetId="20" r:id="rId1"/>
    <sheet name="戸籍収集引継書 " sheetId="21" r:id="rId2"/>
    <sheet name="戸籍申請書" sheetId="3" r:id="rId3"/>
    <sheet name="戸籍申請書（相）" sheetId="19" r:id="rId4"/>
    <sheet name="名寄帳申請書" sheetId="4" r:id="rId5"/>
    <sheet name="実費台紙" sheetId="5" r:id="rId6"/>
  </sheets>
  <externalReferences>
    <externalReference r:id="rId7"/>
  </externalReferences>
  <definedNames>
    <definedName name="_xlnm.Print_Area" localSheetId="0">基本画面!$A$1:$L$81</definedName>
    <definedName name="_xlnm.Print_Area" localSheetId="1">'戸籍収集引継書 '!$A$1:$I$24</definedName>
    <definedName name="_xlnm.Print_Area" localSheetId="2">戸籍申請書!$A$1:$Y$46</definedName>
    <definedName name="_xlnm.Print_Area" localSheetId="3">'戸籍申請書（相）'!$A$1:$Y$44</definedName>
    <definedName name="_xlnm.Print_Area" localSheetId="5">実費台紙!$A$1:$AP$65</definedName>
    <definedName name="_xlnm.Print_Area" localSheetId="4">名寄帳申請書!$A$1:$Y$48</definedName>
    <definedName name="業務リスト" localSheetId="0">#REF!</definedName>
    <definedName name="業務リスト" localSheetId="1">#REF!</definedName>
    <definedName name="業務リスト">#REF!</definedName>
    <definedName name="新宿" localSheetId="0">#REF!</definedName>
    <definedName name="新宿" localSheetId="1">#REF!</definedName>
    <definedName name="新宿">#REF!</definedName>
    <definedName name="相続人リスト" localSheetId="0">#REF!,#REF!,#REF!,#REF!,#REF!,#REF!</definedName>
    <definedName name="相続人リスト" localSheetId="1">#REF!,#REF!,#REF!,#REF!,#REF!,#REF!</definedName>
    <definedName name="相続人リスト">#REF!,#REF!,#REF!,#REF!,#REF!,#REF!</definedName>
    <definedName name="続柄リスト" localSheetId="0">#REF!</definedName>
    <definedName name="続柄リスト" localSheetId="1">#REF!</definedName>
    <definedName name="続柄リスト">#REF!</definedName>
    <definedName name="大坂" localSheetId="0">#REF!</definedName>
    <definedName name="大坂" localSheetId="1">#REF!</definedName>
    <definedName name="大坂">#REF!</definedName>
    <definedName name="担当">基本画面!$J$42:$K$141</definedName>
    <definedName name="担当者リスト" localSheetId="0">#REF!</definedName>
    <definedName name="担当者リスト" localSheetId="1">#REF!</definedName>
    <definedName name="担当者リスト" localSheetId="3">#REF!</definedName>
    <definedName name="担当者リスト">#REF!</definedName>
    <definedName name="担当者情報" localSheetId="0">#REF!</definedName>
    <definedName name="担当者情報" localSheetId="1">#REF!</definedName>
    <definedName name="担当者情報">#REF!</definedName>
    <definedName name="本店" localSheetId="0">#REF!</definedName>
    <definedName name="本店" localSheetId="1">#REF!</definedName>
    <definedName name="本店">#REF!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6" i="3" l="1"/>
  <c r="A48" i="4"/>
  <c r="A44" i="19"/>
  <c r="AD78" i="20" l="1"/>
  <c r="AD72" i="20"/>
  <c r="R41" i="4" l="1"/>
  <c r="E41" i="4"/>
  <c r="E40" i="4"/>
  <c r="E39" i="4"/>
  <c r="R37" i="19"/>
  <c r="E37" i="19"/>
  <c r="E36" i="19"/>
  <c r="E35" i="19"/>
  <c r="R39" i="3"/>
  <c r="E37" i="3"/>
  <c r="E38" i="3"/>
  <c r="E39" i="3"/>
  <c r="C10" i="21"/>
  <c r="B10" i="21"/>
  <c r="B9" i="21"/>
  <c r="B8" i="21"/>
  <c r="B7" i="21"/>
  <c r="B6" i="21"/>
  <c r="B5" i="21"/>
  <c r="B4" i="21"/>
  <c r="B3" i="21"/>
  <c r="H1" i="21"/>
  <c r="F1" i="21"/>
  <c r="D1" i="21"/>
  <c r="A1" i="21"/>
  <c r="N2" i="5" l="1"/>
  <c r="W2" i="5"/>
  <c r="F16" i="3"/>
  <c r="F14" i="3"/>
  <c r="F15" i="3"/>
  <c r="R26" i="20"/>
  <c r="Q26" i="20" s="1"/>
  <c r="R25" i="20"/>
  <c r="Q25" i="20" s="1"/>
  <c r="R24" i="20"/>
  <c r="Q24" i="20" s="1"/>
  <c r="R23" i="20"/>
  <c r="Q23" i="20" s="1"/>
  <c r="R22" i="20"/>
  <c r="Q22" i="20" s="1"/>
  <c r="E7" i="19" l="1"/>
  <c r="E6" i="19"/>
  <c r="E6" i="3" l="1"/>
  <c r="E5" i="3"/>
  <c r="E4" i="3"/>
  <c r="I31" i="3" l="1"/>
  <c r="E4" i="19" l="1"/>
  <c r="I32" i="3"/>
  <c r="E5" i="19" l="1"/>
  <c r="V42" i="19" l="1"/>
  <c r="V41" i="19" s="1"/>
  <c r="V46" i="4"/>
  <c r="V45" i="4" s="1"/>
  <c r="V44" i="3"/>
  <c r="V43" i="3" s="1"/>
  <c r="I35" i="4" l="1"/>
  <c r="I30" i="19"/>
  <c r="V32" i="3"/>
  <c r="V30" i="19"/>
  <c r="V35" i="4"/>
  <c r="R35" i="4"/>
  <c r="R30" i="19"/>
  <c r="R32" i="3"/>
  <c r="I34" i="4"/>
  <c r="I29" i="19"/>
  <c r="F13" i="19" l="1"/>
  <c r="F19" i="19" l="1"/>
  <c r="F16" i="19"/>
  <c r="F17" i="19"/>
  <c r="F18" i="19"/>
  <c r="F15" i="19"/>
  <c r="AM2" i="5" l="1"/>
  <c r="AG2" i="5"/>
  <c r="I2" i="5"/>
  <c r="V46" i="3"/>
  <c r="V48" i="4"/>
  <c r="V44" i="19"/>
  <c r="E4" i="4"/>
  <c r="E5" i="4"/>
  <c r="F14" i="19" l="1"/>
  <c r="A3" i="19"/>
  <c r="A3" i="4" l="1"/>
  <c r="A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K037chesterPC</author>
  </authors>
  <commentList>
    <comment ref="A8" authorId="0" shapeId="0" xr:uid="{A7F0C4E0-8930-414B-B3F4-DF210832BDDB}">
      <text>
        <r>
          <rPr>
            <u/>
            <sz val="12"/>
            <color indexed="81"/>
            <rFont val="Meiryo UI"/>
            <family val="3"/>
            <charset val="128"/>
          </rPr>
          <t>すべての項目を入力してください。</t>
        </r>
        <r>
          <rPr>
            <sz val="12"/>
            <color indexed="81"/>
            <rFont val="Meiryo UI"/>
            <family val="3"/>
            <charset val="128"/>
          </rPr>
          <t xml:space="preserve">
但し委任状の日付はブランクのままでも問題ありません。
※送付先2がブランクのままの場合は、宛名シール下6枚が行チェのシールになります（TELは担当①の番号）</t>
        </r>
      </text>
    </comment>
    <comment ref="F8" authorId="0" shapeId="0" xr:uid="{F483F389-BF16-4E16-A636-6B0EFE4BEF29}">
      <text>
        <r>
          <rPr>
            <u/>
            <sz val="12"/>
            <color indexed="81"/>
            <rFont val="Meiryo UI"/>
            <family val="3"/>
            <charset val="128"/>
          </rPr>
          <t>送付したい書類をリストより選択してください。</t>
        </r>
        <r>
          <rPr>
            <sz val="12"/>
            <color indexed="81"/>
            <rFont val="Meiryo UI"/>
            <family val="3"/>
            <charset val="128"/>
          </rPr>
          <t xml:space="preserve">
リスト外の書類を送付する場合は、こちらに入力後、送付状シートへ移動し、通数の修正を行ってください。(1通でよければ修正不要です)
</t>
        </r>
      </text>
    </comment>
    <comment ref="H8" authorId="0" shapeId="0" xr:uid="{FE53B615-1046-485B-BE63-5D5BB9A05C95}">
      <text>
        <r>
          <rPr>
            <u/>
            <sz val="12"/>
            <color indexed="81"/>
            <rFont val="Meiryo UI"/>
            <family val="3"/>
            <charset val="128"/>
          </rPr>
          <t xml:space="preserve">返送書類リストに表示したい書類に☑をしてください。
</t>
        </r>
        <r>
          <rPr>
            <sz val="12"/>
            <color indexed="81"/>
            <rFont val="Meiryo UI"/>
            <family val="3"/>
            <charset val="128"/>
          </rPr>
          <t xml:space="preserve">
リスト外の書類や、通常返送を依頼しない書類(請求書、返信用封筒)を選択する場合は、こちらに☑後、返送書類リストシートへ移動し、該当項目の詳細、通数を修正ください。
</t>
        </r>
      </text>
    </comment>
    <comment ref="J8" authorId="0" shapeId="0" xr:uid="{5501C34C-BBFC-4F49-850D-C88D81DCA536}">
      <text>
        <r>
          <rPr>
            <u/>
            <sz val="12"/>
            <color indexed="81"/>
            <rFont val="Meiryo UI"/>
            <family val="3"/>
            <charset val="128"/>
          </rPr>
          <t>返送書類リスト『⒉ご準備いただきたい書類』に表示したい書類を選択してください。</t>
        </r>
        <r>
          <rPr>
            <sz val="12"/>
            <color indexed="81"/>
            <rFont val="Meiryo UI"/>
            <family val="3"/>
            <charset val="128"/>
          </rPr>
          <t xml:space="preserve">
リスト外の書類を記載する場合は、こちらに入力後、返送書類リストシートへ移動し、該当項目の詳細、通数を修正ください。
※法定相続情報一覧図を選択する場合も通数を修正ください。</t>
        </r>
      </text>
    </comment>
    <comment ref="A21" authorId="0" shapeId="0" xr:uid="{BAEC1F2B-5B20-479D-912E-9CDC420E1124}">
      <text>
        <r>
          <rPr>
            <sz val="12"/>
            <color indexed="81"/>
            <rFont val="Meiryo UI"/>
            <family val="3"/>
            <charset val="128"/>
          </rPr>
          <t>①</t>
        </r>
        <r>
          <rPr>
            <u/>
            <sz val="12"/>
            <color indexed="81"/>
            <rFont val="Meiryo UI"/>
            <family val="3"/>
            <charset val="128"/>
          </rPr>
          <t>初回送付書類準備のタイミングで、わかっている範囲の情報を入力ください</t>
        </r>
        <r>
          <rPr>
            <sz val="12"/>
            <color indexed="81"/>
            <rFont val="Meiryo UI"/>
            <family val="3"/>
            <charset val="128"/>
          </rPr>
          <t xml:space="preserve">
　※代表相続人は初回の委任状にご署名ご捺印いただく相続人　　　　　　　　　　　　　　　　 ※その他の相続人は原則出生順　　　　　　　
　※苗字、名前の間は全角空白　　　　　　　※『〒』マークは省略するが、『-』は必要　　　　　※℡番号の『-』は必要
　※『一』丁目は漢数字　　　　　　　　　　　　※数字は半角
②連</t>
        </r>
        <r>
          <rPr>
            <u/>
            <sz val="12"/>
            <color indexed="81"/>
            <rFont val="Meiryo UI"/>
            <family val="3"/>
            <charset val="128"/>
          </rPr>
          <t>絡先一覧を取得した段階でわかる範囲で追加情報入力してください</t>
        </r>
        <r>
          <rPr>
            <sz val="12"/>
            <color indexed="81"/>
            <rFont val="Meiryo UI"/>
            <family val="3"/>
            <charset val="128"/>
          </rPr>
          <t xml:space="preserve">
③</t>
        </r>
        <r>
          <rPr>
            <u/>
            <sz val="12"/>
            <color indexed="81"/>
            <rFont val="Meiryo UI"/>
            <family val="3"/>
            <charset val="128"/>
          </rPr>
          <t>戸籍担当者さんは、法定相続情報一覧図と同じ情報に更新してください</t>
        </r>
      </text>
    </comment>
  </commentList>
</comments>
</file>

<file path=xl/sharedStrings.xml><?xml version="1.0" encoding="utf-8"?>
<sst xmlns="http://schemas.openxmlformats.org/spreadsheetml/2006/main" count="681" uniqueCount="551">
  <si>
    <t>戸籍・住民票等交付申請書</t>
    <rPh sb="0" eb="2">
      <t>コセキ</t>
    </rPh>
    <rPh sb="3" eb="6">
      <t>ジュウミンヒョウ</t>
    </rPh>
    <rPh sb="6" eb="7">
      <t>トウ</t>
    </rPh>
    <rPh sb="7" eb="9">
      <t>コウフ</t>
    </rPh>
    <rPh sb="9" eb="12">
      <t>シンセイショ</t>
    </rPh>
    <phoneticPr fontId="1"/>
  </si>
  <si>
    <t>本籍</t>
    <rPh sb="0" eb="2">
      <t>ホンセキ</t>
    </rPh>
    <phoneticPr fontId="1"/>
  </si>
  <si>
    <t>筆頭者</t>
    <rPh sb="0" eb="3">
      <t>ヒットウシャ</t>
    </rPh>
    <phoneticPr fontId="1"/>
  </si>
  <si>
    <t>種類</t>
    <rPh sb="0" eb="2">
      <t>シュルイ</t>
    </rPh>
    <phoneticPr fontId="1"/>
  </si>
  <si>
    <t>必要なもの</t>
    <rPh sb="0" eb="2">
      <t>ヒツヨウ</t>
    </rPh>
    <phoneticPr fontId="1"/>
  </si>
  <si>
    <t>備考</t>
    <rPh sb="0" eb="2">
      <t>ビコウ</t>
    </rPh>
    <phoneticPr fontId="1"/>
  </si>
  <si>
    <t>重複するものは１通のみお送りいただければ結構です。</t>
    <phoneticPr fontId="1"/>
  </si>
  <si>
    <t>該当がない場合、申請内容に不明な点がある場合はお手数ですがご連絡ください。</t>
    <phoneticPr fontId="1"/>
  </si>
  <si>
    <t>焼失、廃棄等の場合は、その旨の証明書をお送りください。</t>
    <phoneticPr fontId="1"/>
  </si>
  <si>
    <t>氏名不明の方につきまして申請内容の範囲内であれば可能な限り交付願います。</t>
    <phoneticPr fontId="1"/>
  </si>
  <si>
    <t>謄本の交付ができない場合には抄本の交付をお願いします。</t>
    <phoneticPr fontId="1"/>
  </si>
  <si>
    <t>死亡日</t>
    <rPh sb="0" eb="3">
      <t>シボウビ</t>
    </rPh>
    <phoneticPr fontId="1"/>
  </si>
  <si>
    <t>生年月日</t>
    <rPh sb="0" eb="2">
      <t>セイネン</t>
    </rPh>
    <rPh sb="2" eb="4">
      <t>ガッピ</t>
    </rPh>
    <phoneticPr fontId="1"/>
  </si>
  <si>
    <t>使いみち
提出先</t>
    <rPh sb="0" eb="1">
      <t>ツカ</t>
    </rPh>
    <rPh sb="5" eb="7">
      <t>テイシュツ</t>
    </rPh>
    <rPh sb="7" eb="8">
      <t>サキ</t>
    </rPh>
    <phoneticPr fontId="1"/>
  </si>
  <si>
    <t>委任者</t>
    <rPh sb="0" eb="3">
      <t>イニンシャ</t>
    </rPh>
    <phoneticPr fontId="1"/>
  </si>
  <si>
    <t>申請者</t>
    <rPh sb="0" eb="3">
      <t>シンセイシャ</t>
    </rPh>
    <phoneticPr fontId="1"/>
  </si>
  <si>
    <t>住所</t>
    <rPh sb="0" eb="2">
      <t>ジュウショ</t>
    </rPh>
    <phoneticPr fontId="1"/>
  </si>
  <si>
    <t>氏名</t>
    <rPh sb="0" eb="2">
      <t>シメイ</t>
    </rPh>
    <phoneticPr fontId="1"/>
  </si>
  <si>
    <t>事務所</t>
    <rPh sb="0" eb="2">
      <t>ジム</t>
    </rPh>
    <rPh sb="2" eb="3">
      <t>ショ</t>
    </rPh>
    <phoneticPr fontId="1"/>
  </si>
  <si>
    <t>連絡先</t>
    <rPh sb="0" eb="3">
      <t>レンラクサキ</t>
    </rPh>
    <phoneticPr fontId="1"/>
  </si>
  <si>
    <t>登記簿上の住所</t>
    <rPh sb="0" eb="3">
      <t>トウキボ</t>
    </rPh>
    <rPh sb="3" eb="4">
      <t>ジョウ</t>
    </rPh>
    <rPh sb="5" eb="7">
      <t>ジュウショ</t>
    </rPh>
    <phoneticPr fontId="1"/>
  </si>
  <si>
    <t>案件番号</t>
    <rPh sb="0" eb="2">
      <t>アンケン</t>
    </rPh>
    <rPh sb="2" eb="4">
      <t>バンゴウ</t>
    </rPh>
    <phoneticPr fontId="1"/>
  </si>
  <si>
    <t>東京都中央区八重洲一丁目7-20</t>
    <phoneticPr fontId="1"/>
  </si>
  <si>
    <t>各 1 通</t>
    <rPh sb="0" eb="1">
      <t>カク</t>
    </rPh>
    <rPh sb="4" eb="5">
      <t>ツウ</t>
    </rPh>
    <phoneticPr fontId="1"/>
  </si>
  <si>
    <t>戸籍謄本</t>
    <rPh sb="0" eb="2">
      <t>コセキ</t>
    </rPh>
    <rPh sb="2" eb="4">
      <t>トウホン</t>
    </rPh>
    <phoneticPr fontId="1"/>
  </si>
  <si>
    <t>除籍謄本・改製原戸籍</t>
    <rPh sb="0" eb="2">
      <t>ジョセキ</t>
    </rPh>
    <rPh sb="2" eb="4">
      <t>トウホン</t>
    </rPh>
    <rPh sb="5" eb="7">
      <t>カイセイ</t>
    </rPh>
    <rPh sb="7" eb="8">
      <t>ハラ</t>
    </rPh>
    <rPh sb="8" eb="10">
      <t>コセキ</t>
    </rPh>
    <phoneticPr fontId="1"/>
  </si>
  <si>
    <t>廃棄証明書（戸籍）</t>
    <rPh sb="0" eb="2">
      <t>ハイキ</t>
    </rPh>
    <rPh sb="2" eb="5">
      <t>ショウメイショ</t>
    </rPh>
    <rPh sb="6" eb="8">
      <t>コセキ</t>
    </rPh>
    <phoneticPr fontId="1"/>
  </si>
  <si>
    <t>戸籍の附票謄本（本籍・筆頭者の記載必要）</t>
    <rPh sb="0" eb="2">
      <t>コセキ</t>
    </rPh>
    <rPh sb="3" eb="5">
      <t>フヒョウ</t>
    </rPh>
    <rPh sb="5" eb="7">
      <t>トウホン</t>
    </rPh>
    <rPh sb="8" eb="10">
      <t>ホンセキ</t>
    </rPh>
    <rPh sb="11" eb="14">
      <t>ヒットウシャ</t>
    </rPh>
    <rPh sb="15" eb="17">
      <t>キサイ</t>
    </rPh>
    <rPh sb="17" eb="19">
      <t>ヒツヨウ</t>
    </rPh>
    <phoneticPr fontId="1"/>
  </si>
  <si>
    <t>廃棄証明書（附票）</t>
    <rPh sb="0" eb="2">
      <t>ハイキ</t>
    </rPh>
    <rPh sb="2" eb="5">
      <t>ショウメイショ</t>
    </rPh>
    <rPh sb="6" eb="8">
      <t>フヒョウ</t>
    </rPh>
    <phoneticPr fontId="1"/>
  </si>
  <si>
    <t>不在籍・不在住証明書</t>
    <rPh sb="0" eb="2">
      <t>フザイ</t>
    </rPh>
    <rPh sb="2" eb="3">
      <t>セキ</t>
    </rPh>
    <rPh sb="4" eb="6">
      <t>フザイ</t>
    </rPh>
    <rPh sb="6" eb="7">
      <t>ジュウ</t>
    </rPh>
    <rPh sb="7" eb="10">
      <t>ショウメイショ</t>
    </rPh>
    <phoneticPr fontId="1"/>
  </si>
  <si>
    <t>住民票除票（本籍・筆頭者・世帯主・続柄の記載必要）</t>
    <rPh sb="0" eb="3">
      <t>ジュウミンヒョウ</t>
    </rPh>
    <rPh sb="3" eb="5">
      <t>ジョヒョウ</t>
    </rPh>
    <rPh sb="6" eb="8">
      <t>ホンセキ</t>
    </rPh>
    <rPh sb="9" eb="12">
      <t>ヒットウシャ</t>
    </rPh>
    <rPh sb="13" eb="16">
      <t>セタイヌシ</t>
    </rPh>
    <rPh sb="17" eb="19">
      <t>ツヅキガラ</t>
    </rPh>
    <rPh sb="20" eb="22">
      <t>キサイ</t>
    </rPh>
    <rPh sb="22" eb="24">
      <t>ヒツヨウ</t>
    </rPh>
    <phoneticPr fontId="1"/>
  </si>
  <si>
    <t>住民票（本籍・筆頭者・世帯主・続柄の記載必要）</t>
    <phoneticPr fontId="1"/>
  </si>
  <si>
    <t>住居表示実施証明書</t>
    <rPh sb="0" eb="2">
      <t>ジュウキョ</t>
    </rPh>
    <rPh sb="2" eb="4">
      <t>ヒョウジ</t>
    </rPh>
    <rPh sb="4" eb="6">
      <t>ジッシ</t>
    </rPh>
    <rPh sb="6" eb="9">
      <t>ショウメイショ</t>
    </rPh>
    <phoneticPr fontId="1"/>
  </si>
  <si>
    <t>名寄帳・評価証明書等交付申請書</t>
    <rPh sb="0" eb="3">
      <t>ナヨセチョウ</t>
    </rPh>
    <rPh sb="4" eb="6">
      <t>ヒョウカ</t>
    </rPh>
    <rPh sb="6" eb="9">
      <t>ショウメイショ</t>
    </rPh>
    <rPh sb="9" eb="10">
      <t>トウ</t>
    </rPh>
    <rPh sb="10" eb="12">
      <t>コウフ</t>
    </rPh>
    <rPh sb="12" eb="15">
      <t>シンセイショ</t>
    </rPh>
    <phoneticPr fontId="1"/>
  </si>
  <si>
    <t>所有者</t>
    <rPh sb="0" eb="3">
      <t>ショユウシャ</t>
    </rPh>
    <phoneticPr fontId="1"/>
  </si>
  <si>
    <t>令和5年度　名寄帳（共有物件、非課税物件等含む全て）</t>
    <phoneticPr fontId="1"/>
  </si>
  <si>
    <t>令和6年度　名寄帳（共有物件、非課税物件等含む全て）</t>
    <phoneticPr fontId="1"/>
  </si>
  <si>
    <t>令和7年度　名寄帳（共有物件、非課税物件等含む全て）</t>
    <phoneticPr fontId="1"/>
  </si>
  <si>
    <t>上記所有者の下記物件につき、最新年度評価証明書をお送りください。</t>
    <rPh sb="14" eb="16">
      <t>サイシン</t>
    </rPh>
    <phoneticPr fontId="1"/>
  </si>
  <si>
    <t>土地</t>
    <rPh sb="0" eb="2">
      <t>トチ</t>
    </rPh>
    <phoneticPr fontId="1"/>
  </si>
  <si>
    <t>家屋</t>
    <rPh sb="0" eb="2">
      <t>カオク</t>
    </rPh>
    <phoneticPr fontId="1"/>
  </si>
  <si>
    <t>家屋番号</t>
    <rPh sb="0" eb="2">
      <t>カオク</t>
    </rPh>
    <rPh sb="2" eb="4">
      <t>バンゴウ</t>
    </rPh>
    <phoneticPr fontId="1"/>
  </si>
  <si>
    <t>所在　</t>
    <rPh sb="0" eb="2">
      <t>ショザイ</t>
    </rPh>
    <phoneticPr fontId="1"/>
  </si>
  <si>
    <t xml:space="preserve">  物件</t>
    <rPh sb="2" eb="4">
      <t>ブッケン</t>
    </rPh>
    <phoneticPr fontId="1"/>
  </si>
  <si>
    <t>登記情報</t>
    <rPh sb="0" eb="2">
      <t>トウキ</t>
    </rPh>
    <rPh sb="2" eb="4">
      <t>ジョウホウ</t>
    </rPh>
    <phoneticPr fontId="1"/>
  </si>
  <si>
    <t>名寄帳</t>
    <rPh sb="0" eb="3">
      <t>ナヨセチョウ</t>
    </rPh>
    <phoneticPr fontId="1"/>
  </si>
  <si>
    <t>全部事項証明書</t>
    <rPh sb="0" eb="2">
      <t>ゼンブ</t>
    </rPh>
    <rPh sb="2" eb="4">
      <t>ジコウ</t>
    </rPh>
    <rPh sb="4" eb="7">
      <t>ショウメイショ</t>
    </rPh>
    <phoneticPr fontId="1"/>
  </si>
  <si>
    <t>参考資料</t>
    <rPh sb="0" eb="2">
      <t>サンコウ</t>
    </rPh>
    <rPh sb="2" eb="4">
      <t>シリョウ</t>
    </rPh>
    <phoneticPr fontId="1"/>
  </si>
  <si>
    <t>評価証明書</t>
    <rPh sb="0" eb="2">
      <t>ヒョウカ</t>
    </rPh>
    <rPh sb="2" eb="5">
      <t>ショウメイショ</t>
    </rPh>
    <phoneticPr fontId="1"/>
  </si>
  <si>
    <t>証明が必要な内容</t>
    <rPh sb="0" eb="2">
      <t>ショウメイ</t>
    </rPh>
    <rPh sb="3" eb="5">
      <t>ヒツヨウ</t>
    </rPh>
    <rPh sb="6" eb="8">
      <t>ナイヨウ</t>
    </rPh>
    <phoneticPr fontId="1"/>
  </si>
  <si>
    <t>物件の一部又は全部が公衆用道路又は悪用道路により非課税の場合、</t>
    <rPh sb="0" eb="3">
      <t>コウシュウヨウ</t>
    </rPh>
    <rPh sb="3" eb="5">
      <t>ドウロ</t>
    </rPh>
    <rPh sb="5" eb="6">
      <t>マタ</t>
    </rPh>
    <rPh sb="7" eb="9">
      <t>アクヨウ</t>
    </rPh>
    <rPh sb="9" eb="11">
      <t>ドウロ</t>
    </rPh>
    <rPh sb="14" eb="17">
      <t>ヒカゼイ</t>
    </rPh>
    <rPh sb="18" eb="20">
      <t>バアイ</t>
    </rPh>
    <rPh sb="21" eb="24">
      <t>ヒカゼイ</t>
    </rPh>
    <rPh sb="24" eb="26">
      <t>ブブン</t>
    </rPh>
    <rPh sb="27" eb="29">
      <t>メンセキ</t>
    </rPh>
    <rPh sb="29" eb="30">
      <t>オヨ</t>
    </rPh>
    <phoneticPr fontId="1"/>
  </si>
  <si>
    <t>非課税部分の面積及び非課税条文の記載</t>
    <phoneticPr fontId="1"/>
  </si>
  <si>
    <t>※（例）非課税地積・〇〇㎡、非課税条文・法348条2項5項・公衆用道路</t>
    <phoneticPr fontId="1"/>
  </si>
  <si>
    <t>所有の建物に敷地権が設定されている場合は土地の名寄帳も発行してください。</t>
    <phoneticPr fontId="1"/>
  </si>
  <si>
    <t>証明内容は全て、印字又は消せないペンで記入してください。（付箋不可）</t>
    <phoneticPr fontId="1"/>
  </si>
  <si>
    <t>特記事項を記載できる書類がない場合は付箋等でその旨をお知らせください。</t>
    <phoneticPr fontId="1"/>
  </si>
  <si>
    <t>名寄帳・評価証明書等の取り扱いがない場合、</t>
    <rPh sb="0" eb="3">
      <t>ナヨセチョウ</t>
    </rPh>
    <rPh sb="4" eb="6">
      <t>ヒョウカ</t>
    </rPh>
    <rPh sb="6" eb="9">
      <t>ショウメイショ</t>
    </rPh>
    <rPh sb="9" eb="10">
      <t>トウ</t>
    </rPh>
    <rPh sb="11" eb="12">
      <t>ト</t>
    </rPh>
    <rPh sb="13" eb="14">
      <t>アツカ</t>
    </rPh>
    <rPh sb="18" eb="20">
      <t>バアイ</t>
    </rPh>
    <phoneticPr fontId="1"/>
  </si>
  <si>
    <t>代わりの書類（非課税証明書・公課証明書等）の発行をお願い致します。</t>
    <phoneticPr fontId="1"/>
  </si>
  <si>
    <t>名寄帳に評価額（近傍宅地）や非課税条文等が記載できない場合、</t>
    <rPh sb="0" eb="3">
      <t>ナヨセチョウ</t>
    </rPh>
    <rPh sb="4" eb="7">
      <t>ヒョウカガク</t>
    </rPh>
    <rPh sb="8" eb="10">
      <t>キンボウ</t>
    </rPh>
    <rPh sb="10" eb="12">
      <t>タクチ</t>
    </rPh>
    <rPh sb="14" eb="17">
      <t>ヒカゼイ</t>
    </rPh>
    <rPh sb="17" eb="19">
      <t>ジョウブン</t>
    </rPh>
    <rPh sb="19" eb="20">
      <t>トウ</t>
    </rPh>
    <rPh sb="21" eb="23">
      <t>キサイ</t>
    </rPh>
    <rPh sb="27" eb="29">
      <t>バアイ</t>
    </rPh>
    <phoneticPr fontId="1"/>
  </si>
  <si>
    <t>追加で最新年度の評価証明書を発行してください。</t>
    <rPh sb="0" eb="2">
      <t>ツイカ</t>
    </rPh>
    <rPh sb="3" eb="5">
      <t>サイシン</t>
    </rPh>
    <rPh sb="5" eb="6">
      <t>ネン</t>
    </rPh>
    <rPh sb="6" eb="7">
      <t>ド</t>
    </rPh>
    <rPh sb="8" eb="10">
      <t>ヒョウカ</t>
    </rPh>
    <rPh sb="10" eb="13">
      <t>ショウメイショ</t>
    </rPh>
    <rPh sb="14" eb="16">
      <t>ハッコウ</t>
    </rPh>
    <phoneticPr fontId="1"/>
  </si>
  <si>
    <t>返送</t>
    <rPh sb="0" eb="2">
      <t>ヘンソウ</t>
    </rPh>
    <phoneticPr fontId="17"/>
  </si>
  <si>
    <t>送付</t>
    <rPh sb="0" eb="2">
      <t>ソウフ</t>
    </rPh>
    <phoneticPr fontId="17"/>
  </si>
  <si>
    <t>担当</t>
    <rPh sb="0" eb="2">
      <t>タントウ</t>
    </rPh>
    <phoneticPr fontId="13"/>
  </si>
  <si>
    <t>案件</t>
    <rPh sb="0" eb="2">
      <t>アンケン</t>
    </rPh>
    <phoneticPr fontId="13"/>
  </si>
  <si>
    <t>顧客名</t>
    <rPh sb="0" eb="2">
      <t>コキャク</t>
    </rPh>
    <rPh sb="2" eb="3">
      <t>ナ</t>
    </rPh>
    <phoneticPr fontId="13"/>
  </si>
  <si>
    <t>キントーン№</t>
    <phoneticPr fontId="13"/>
  </si>
  <si>
    <t>レタパシール
貼付台紙</t>
    <rPh sb="7" eb="9">
      <t>チョウフ</t>
    </rPh>
    <rPh sb="9" eb="11">
      <t>ダイシ</t>
    </rPh>
    <phoneticPr fontId="13"/>
  </si>
  <si>
    <t>課税明細書</t>
    <rPh sb="0" eb="2">
      <t>カゼイ</t>
    </rPh>
    <rPh sb="2" eb="4">
      <t>メイサイ</t>
    </rPh>
    <rPh sb="4" eb="5">
      <t>ショ</t>
    </rPh>
    <phoneticPr fontId="1"/>
  </si>
  <si>
    <t>案件番号</t>
    <phoneticPr fontId="1"/>
  </si>
  <si>
    <t>※評価額が0円（非課税）の場合、近傍宅地（又は類似地目）1㎡当たりの価格の記載</t>
    <rPh sb="1" eb="4">
      <t>ヒョウカガク</t>
    </rPh>
    <rPh sb="6" eb="7">
      <t>エン</t>
    </rPh>
    <rPh sb="8" eb="11">
      <t>ヒカゼイ</t>
    </rPh>
    <rPh sb="13" eb="15">
      <t>バアイ</t>
    </rPh>
    <rPh sb="16" eb="18">
      <t>キンボウ</t>
    </rPh>
    <rPh sb="18" eb="20">
      <t>タクチ</t>
    </rPh>
    <rPh sb="21" eb="22">
      <t>マタ</t>
    </rPh>
    <rPh sb="23" eb="25">
      <t>ルイジ</t>
    </rPh>
    <rPh sb="25" eb="27">
      <t>チモク</t>
    </rPh>
    <rPh sb="30" eb="31">
      <t>ア</t>
    </rPh>
    <rPh sb="34" eb="36">
      <t>カカク</t>
    </rPh>
    <rPh sb="37" eb="39">
      <t>キサイ</t>
    </rPh>
    <phoneticPr fontId="1"/>
  </si>
  <si>
    <t>※共有物件の場合、持分割合及び持分の評価額の記載</t>
    <rPh sb="1" eb="3">
      <t>キョウユウ</t>
    </rPh>
    <rPh sb="3" eb="5">
      <t>ブッケン</t>
    </rPh>
    <rPh sb="6" eb="8">
      <t>バアイ</t>
    </rPh>
    <rPh sb="9" eb="11">
      <t>モチブン</t>
    </rPh>
    <rPh sb="11" eb="13">
      <t>ワリアイ</t>
    </rPh>
    <rPh sb="13" eb="14">
      <t>オヨ</t>
    </rPh>
    <rPh sb="15" eb="17">
      <t>モチブン</t>
    </rPh>
    <rPh sb="18" eb="21">
      <t>ヒョウカガク</t>
    </rPh>
    <rPh sb="22" eb="24">
      <t>キサイ</t>
    </rPh>
    <phoneticPr fontId="1"/>
  </si>
  <si>
    <t>基本情報入力</t>
    <rPh sb="0" eb="2">
      <t>キホン</t>
    </rPh>
    <rPh sb="2" eb="4">
      <t>ジョウホウ</t>
    </rPh>
    <rPh sb="4" eb="6">
      <t>ニュウリョク</t>
    </rPh>
    <phoneticPr fontId="22"/>
  </si>
  <si>
    <t>⒈基本情報</t>
    <rPh sb="1" eb="3">
      <t>キホン</t>
    </rPh>
    <rPh sb="3" eb="5">
      <t>ジョウホウ</t>
    </rPh>
    <phoneticPr fontId="22"/>
  </si>
  <si>
    <t>⒉送付書類</t>
    <rPh sb="1" eb="3">
      <t>ソウフ</t>
    </rPh>
    <rPh sb="3" eb="5">
      <t>ショルイ</t>
    </rPh>
    <phoneticPr fontId="22"/>
  </si>
  <si>
    <t>返送書類リスト記載チェック</t>
    <rPh sb="0" eb="2">
      <t>ヘンソウ</t>
    </rPh>
    <rPh sb="2" eb="4">
      <t>ショルイ</t>
    </rPh>
    <rPh sb="7" eb="9">
      <t>キサイ</t>
    </rPh>
    <phoneticPr fontId="22"/>
  </si>
  <si>
    <t>⒊返送書類</t>
    <rPh sb="1" eb="3">
      <t>ヘンソウ</t>
    </rPh>
    <rPh sb="3" eb="5">
      <t>ショルイ</t>
    </rPh>
    <phoneticPr fontId="22"/>
  </si>
  <si>
    <t>顧客コード</t>
    <rPh sb="0" eb="2">
      <t>コキャク</t>
    </rPh>
    <phoneticPr fontId="22"/>
  </si>
  <si>
    <t>登記担当</t>
    <rPh sb="0" eb="2">
      <t>トウキ</t>
    </rPh>
    <rPh sb="2" eb="4">
      <t>タントウ</t>
    </rPh>
    <phoneticPr fontId="22"/>
  </si>
  <si>
    <t>司チェ大阪</t>
    <rPh sb="0" eb="1">
      <t>シ</t>
    </rPh>
    <rPh sb="3" eb="5">
      <t>オオサカ</t>
    </rPh>
    <phoneticPr fontId="22"/>
  </si>
  <si>
    <t>⑴</t>
    <phoneticPr fontId="22"/>
  </si>
  <si>
    <t>契約書</t>
    <rPh sb="0" eb="3">
      <t>ケイヤクショ</t>
    </rPh>
    <phoneticPr fontId="22"/>
  </si>
  <si>
    <t>印鑑証明書（原本）</t>
    <rPh sb="0" eb="2">
      <t>インカン</t>
    </rPh>
    <rPh sb="2" eb="5">
      <t>ショウメイショ</t>
    </rPh>
    <rPh sb="6" eb="8">
      <t>ゲンポン</t>
    </rPh>
    <phoneticPr fontId="22"/>
  </si>
  <si>
    <t>顧客名</t>
    <rPh sb="0" eb="2">
      <t>コキャク</t>
    </rPh>
    <rPh sb="2" eb="3">
      <t>メイ</t>
    </rPh>
    <phoneticPr fontId="22"/>
  </si>
  <si>
    <t>⑵</t>
    <phoneticPr fontId="22"/>
  </si>
  <si>
    <t>重要事項説明書</t>
  </si>
  <si>
    <t>プラン</t>
    <phoneticPr fontId="22"/>
  </si>
  <si>
    <t>コスト重視プラン</t>
    <rPh sb="3" eb="5">
      <t>ジュウシ</t>
    </rPh>
    <phoneticPr fontId="22"/>
  </si>
  <si>
    <t>値引きの有無</t>
    <rPh sb="0" eb="2">
      <t>ネビ</t>
    </rPh>
    <rPh sb="4" eb="6">
      <t>ウム</t>
    </rPh>
    <phoneticPr fontId="22"/>
  </si>
  <si>
    <t>⑶</t>
    <phoneticPr fontId="22"/>
  </si>
  <si>
    <t>委任状</t>
  </si>
  <si>
    <t>拠点</t>
    <rPh sb="0" eb="2">
      <t>キョテン</t>
    </rPh>
    <phoneticPr fontId="22"/>
  </si>
  <si>
    <t>東京</t>
    <rPh sb="0" eb="2">
      <t>トウキョウ</t>
    </rPh>
    <phoneticPr fontId="22"/>
  </si>
  <si>
    <t>⑷</t>
    <phoneticPr fontId="22"/>
  </si>
  <si>
    <t>口座の凍結についての確認書</t>
  </si>
  <si>
    <t>担当①</t>
    <rPh sb="0" eb="2">
      <t>タントウ</t>
    </rPh>
    <phoneticPr fontId="22"/>
  </si>
  <si>
    <t>⑸</t>
    <phoneticPr fontId="22"/>
  </si>
  <si>
    <t>初回送付日</t>
    <rPh sb="0" eb="2">
      <t>ショカイ</t>
    </rPh>
    <rPh sb="2" eb="4">
      <t>ソウフ</t>
    </rPh>
    <rPh sb="4" eb="5">
      <t>ヒ</t>
    </rPh>
    <phoneticPr fontId="22"/>
  </si>
  <si>
    <t>⑹</t>
    <phoneticPr fontId="22"/>
  </si>
  <si>
    <t>戸籍関係情報</t>
    <rPh sb="0" eb="6">
      <t>コセキカンケイジョウホウ</t>
    </rPh>
    <phoneticPr fontId="29"/>
  </si>
  <si>
    <t>送付先1</t>
    <rPh sb="0" eb="3">
      <t>ソウフサキ</t>
    </rPh>
    <phoneticPr fontId="22"/>
  </si>
  <si>
    <t>⑺</t>
    <phoneticPr fontId="22"/>
  </si>
  <si>
    <t>請求書</t>
    <rPh sb="0" eb="3">
      <t>セイキュウショ</t>
    </rPh>
    <phoneticPr fontId="22"/>
  </si>
  <si>
    <t>送付先2</t>
    <rPh sb="0" eb="3">
      <t>ソウフサキ</t>
    </rPh>
    <phoneticPr fontId="22"/>
  </si>
  <si>
    <t>相続人②</t>
    <rPh sb="0" eb="2">
      <t>ソウゾク</t>
    </rPh>
    <rPh sb="2" eb="3">
      <t>ニン</t>
    </rPh>
    <phoneticPr fontId="22"/>
  </si>
  <si>
    <t>⑻</t>
    <phoneticPr fontId="22"/>
  </si>
  <si>
    <t>委任状通数</t>
    <rPh sb="0" eb="3">
      <t>イニンジョウ</t>
    </rPh>
    <rPh sb="3" eb="4">
      <t>ツウ</t>
    </rPh>
    <rPh sb="4" eb="5">
      <t>スウ</t>
    </rPh>
    <phoneticPr fontId="22"/>
  </si>
  <si>
    <t>⑼</t>
    <phoneticPr fontId="22"/>
  </si>
  <si>
    <t>印鑑証明書数</t>
    <rPh sb="0" eb="5">
      <t>インカンショウメイショ</t>
    </rPh>
    <rPh sb="5" eb="6">
      <t>スウ</t>
    </rPh>
    <phoneticPr fontId="22"/>
  </si>
  <si>
    <t>⑽</t>
    <phoneticPr fontId="22"/>
  </si>
  <si>
    <t>返信用封筒通数</t>
    <rPh sb="0" eb="3">
      <t>ヘンシンヨウ</t>
    </rPh>
    <rPh sb="3" eb="5">
      <t>フウトウ</t>
    </rPh>
    <rPh sb="5" eb="6">
      <t>ツウ</t>
    </rPh>
    <rPh sb="6" eb="7">
      <t>スウ</t>
    </rPh>
    <phoneticPr fontId="22"/>
  </si>
  <si>
    <t>⑾</t>
    <phoneticPr fontId="22"/>
  </si>
  <si>
    <t>番号</t>
    <rPh sb="0" eb="2">
      <t>バンゴウ</t>
    </rPh>
    <phoneticPr fontId="22"/>
  </si>
  <si>
    <t>続柄</t>
    <rPh sb="0" eb="2">
      <t>ツヅキガラ</t>
    </rPh>
    <phoneticPr fontId="22"/>
  </si>
  <si>
    <t>氏名
(行政　太郎)</t>
    <rPh sb="0" eb="2">
      <t>シメイ</t>
    </rPh>
    <rPh sb="4" eb="6">
      <t>ギョウセイ</t>
    </rPh>
    <rPh sb="7" eb="9">
      <t>タロウ</t>
    </rPh>
    <phoneticPr fontId="22"/>
  </si>
  <si>
    <r>
      <t xml:space="preserve">ふりがな
</t>
    </r>
    <r>
      <rPr>
        <b/>
        <sz val="6"/>
        <color theme="1"/>
        <rFont val="メイリオ"/>
        <family val="3"/>
        <charset val="128"/>
      </rPr>
      <t>(ぎょうせい　たろう)</t>
    </r>
    <phoneticPr fontId="22"/>
  </si>
  <si>
    <t>生年月日
(R1.1.1)</t>
    <rPh sb="0" eb="4">
      <t>セイネンガッピ</t>
    </rPh>
    <phoneticPr fontId="22"/>
  </si>
  <si>
    <t>死亡日
(R1.1.1)</t>
    <rPh sb="0" eb="2">
      <t>シボウ</t>
    </rPh>
    <rPh sb="2" eb="3">
      <t>ヒ</t>
    </rPh>
    <phoneticPr fontId="22"/>
  </si>
  <si>
    <t>〒
(000-0000)</t>
    <phoneticPr fontId="22"/>
  </si>
  <si>
    <r>
      <t xml:space="preserve">住所1
</t>
    </r>
    <r>
      <rPr>
        <b/>
        <sz val="8"/>
        <color theme="1"/>
        <rFont val="メイリオ"/>
        <family val="3"/>
        <charset val="128"/>
      </rPr>
      <t>(東京都中央区八重洲一丁目7-20)</t>
    </r>
    <rPh sb="0" eb="2">
      <t>ジュウショ</t>
    </rPh>
    <rPh sb="5" eb="7">
      <t>トウキョウ</t>
    </rPh>
    <rPh sb="7" eb="8">
      <t>ト</t>
    </rPh>
    <rPh sb="8" eb="11">
      <t>チュウオウク</t>
    </rPh>
    <rPh sb="11" eb="14">
      <t>ヤエス</t>
    </rPh>
    <rPh sb="14" eb="17">
      <t>イッチョウメ</t>
    </rPh>
    <phoneticPr fontId="22"/>
  </si>
  <si>
    <r>
      <t xml:space="preserve">住所2
</t>
    </r>
    <r>
      <rPr>
        <b/>
        <sz val="8"/>
        <color theme="1"/>
        <rFont val="メイリオ"/>
        <family val="3"/>
        <charset val="128"/>
      </rPr>
      <t>(八重洲口会館2階)</t>
    </r>
    <rPh sb="0" eb="2">
      <t>ジュウショ</t>
    </rPh>
    <rPh sb="5" eb="8">
      <t>ヤエス</t>
    </rPh>
    <rPh sb="8" eb="9">
      <t>クチ</t>
    </rPh>
    <rPh sb="9" eb="11">
      <t>カイカン</t>
    </rPh>
    <rPh sb="12" eb="13">
      <t>カイ</t>
    </rPh>
    <phoneticPr fontId="22"/>
  </si>
  <si>
    <t>TEL
(00-0000-0000)</t>
    <phoneticPr fontId="22"/>
  </si>
  <si>
    <r>
      <t xml:space="preserve">本籍地
</t>
    </r>
    <r>
      <rPr>
        <b/>
        <sz val="8"/>
        <color theme="1"/>
        <rFont val="メイリオ"/>
        <family val="3"/>
        <charset val="128"/>
      </rPr>
      <t>(東京都中央区八重洲一丁目7番20号)</t>
    </r>
    <rPh sb="0" eb="3">
      <t>ホンセキチ</t>
    </rPh>
    <rPh sb="5" eb="7">
      <t>トウキョウ</t>
    </rPh>
    <rPh sb="7" eb="8">
      <t>ト</t>
    </rPh>
    <rPh sb="8" eb="11">
      <t>チュウオウク</t>
    </rPh>
    <rPh sb="11" eb="14">
      <t>ヤエス</t>
    </rPh>
    <rPh sb="14" eb="17">
      <t>イッチョウメ</t>
    </rPh>
    <rPh sb="18" eb="19">
      <t>バン</t>
    </rPh>
    <rPh sb="21" eb="22">
      <t>ゴウ</t>
    </rPh>
    <phoneticPr fontId="22"/>
  </si>
  <si>
    <t>筆頭者
(行政　太郎)</t>
    <rPh sb="0" eb="3">
      <t>ヒットウシャ</t>
    </rPh>
    <rPh sb="5" eb="7">
      <t>ギョウセイ</t>
    </rPh>
    <rPh sb="8" eb="10">
      <t>タロウ</t>
    </rPh>
    <phoneticPr fontId="22"/>
  </si>
  <si>
    <t>妻</t>
    <rPh sb="0" eb="1">
      <t>ツマ</t>
    </rPh>
    <phoneticPr fontId="33"/>
  </si>
  <si>
    <t>長男</t>
    <rPh sb="0" eb="2">
      <t>チョウナン</t>
    </rPh>
    <phoneticPr fontId="33"/>
  </si>
  <si>
    <t>相続人③</t>
    <rPh sb="0" eb="2">
      <t>ソウゾク</t>
    </rPh>
    <rPh sb="2" eb="3">
      <t>ニン</t>
    </rPh>
    <phoneticPr fontId="22"/>
  </si>
  <si>
    <t>二男</t>
    <rPh sb="0" eb="2">
      <t>ジナン</t>
    </rPh>
    <phoneticPr fontId="33"/>
  </si>
  <si>
    <t>相続人④</t>
    <rPh sb="0" eb="2">
      <t>ソウゾク</t>
    </rPh>
    <rPh sb="2" eb="3">
      <t>ニン</t>
    </rPh>
    <phoneticPr fontId="22"/>
  </si>
  <si>
    <t>長女</t>
    <rPh sb="0" eb="2">
      <t>チョウジョ</t>
    </rPh>
    <phoneticPr fontId="33"/>
  </si>
  <si>
    <t>相続人⑤</t>
    <rPh sb="0" eb="2">
      <t>ソウゾク</t>
    </rPh>
    <rPh sb="2" eb="3">
      <t>ニン</t>
    </rPh>
    <phoneticPr fontId="22"/>
  </si>
  <si>
    <t>二女</t>
    <rPh sb="0" eb="2">
      <t>ジジョ</t>
    </rPh>
    <phoneticPr fontId="33"/>
  </si>
  <si>
    <t>相続人⑥</t>
    <rPh sb="0" eb="2">
      <t>ソウゾク</t>
    </rPh>
    <rPh sb="2" eb="3">
      <t>ニン</t>
    </rPh>
    <phoneticPr fontId="22"/>
  </si>
  <si>
    <t>三女</t>
    <rPh sb="0" eb="2">
      <t>サンジョ</t>
    </rPh>
    <phoneticPr fontId="33"/>
  </si>
  <si>
    <t>相続人⑦</t>
    <rPh sb="0" eb="2">
      <t>ソウゾク</t>
    </rPh>
    <rPh sb="2" eb="3">
      <t>ニン</t>
    </rPh>
    <phoneticPr fontId="22"/>
  </si>
  <si>
    <t>四女</t>
    <rPh sb="0" eb="2">
      <t>ヨンジョ</t>
    </rPh>
    <phoneticPr fontId="33"/>
  </si>
  <si>
    <t>相続人⑧</t>
    <rPh sb="0" eb="2">
      <t>ソウゾク</t>
    </rPh>
    <rPh sb="2" eb="3">
      <t>ニン</t>
    </rPh>
    <phoneticPr fontId="22"/>
  </si>
  <si>
    <t>父</t>
    <rPh sb="0" eb="1">
      <t>チチ</t>
    </rPh>
    <phoneticPr fontId="33"/>
  </si>
  <si>
    <t>相続人⑨</t>
    <rPh sb="0" eb="3">
      <t>ソウゾクニン</t>
    </rPh>
    <phoneticPr fontId="22"/>
  </si>
  <si>
    <t>母</t>
    <rPh sb="0" eb="1">
      <t>ハハ</t>
    </rPh>
    <phoneticPr fontId="33"/>
  </si>
  <si>
    <t>相続人⑩</t>
    <rPh sb="0" eb="3">
      <t>ソウゾクニン</t>
    </rPh>
    <phoneticPr fontId="22"/>
  </si>
  <si>
    <t>兄</t>
    <rPh sb="0" eb="1">
      <t>アニ</t>
    </rPh>
    <phoneticPr fontId="33"/>
  </si>
  <si>
    <t>相続人⑪</t>
    <rPh sb="0" eb="3">
      <t>ソウゾクニン</t>
    </rPh>
    <phoneticPr fontId="22"/>
  </si>
  <si>
    <t>姉</t>
    <rPh sb="0" eb="1">
      <t>アネ</t>
    </rPh>
    <phoneticPr fontId="33"/>
  </si>
  <si>
    <t>相続人⑫</t>
    <rPh sb="0" eb="3">
      <t>ソウゾクニン</t>
    </rPh>
    <phoneticPr fontId="22"/>
  </si>
  <si>
    <t>甥・代襲者</t>
    <rPh sb="0" eb="1">
      <t>オイ</t>
    </rPh>
    <rPh sb="2" eb="4">
      <t>ダイシュウ</t>
    </rPh>
    <rPh sb="4" eb="5">
      <t>シャ</t>
    </rPh>
    <phoneticPr fontId="33"/>
  </si>
  <si>
    <t>料金</t>
    <rPh sb="0" eb="2">
      <t>リョウキン</t>
    </rPh>
    <phoneticPr fontId="22"/>
  </si>
  <si>
    <t>行チェ</t>
    <rPh sb="0" eb="1">
      <t>ギョウ</t>
    </rPh>
    <phoneticPr fontId="22"/>
  </si>
  <si>
    <t>着手金</t>
    <rPh sb="0" eb="2">
      <t>チャクシュ</t>
    </rPh>
    <rPh sb="2" eb="3">
      <t>キン</t>
    </rPh>
    <phoneticPr fontId="22"/>
  </si>
  <si>
    <t>残金</t>
    <rPh sb="0" eb="2">
      <t>ザンキン</t>
    </rPh>
    <phoneticPr fontId="22"/>
  </si>
  <si>
    <t>全員</t>
    <rPh sb="0" eb="2">
      <t>ゼンイン</t>
    </rPh>
    <phoneticPr fontId="22"/>
  </si>
  <si>
    <t>直通℡</t>
    <rPh sb="0" eb="2">
      <t>チョクツウ</t>
    </rPh>
    <phoneticPr fontId="22"/>
  </si>
  <si>
    <t>代表</t>
    <rPh sb="0" eb="2">
      <t>ダイヒョウ</t>
    </rPh>
    <phoneticPr fontId="22"/>
  </si>
  <si>
    <t>行政書士</t>
    <rPh sb="0" eb="2">
      <t>ギョウセイ</t>
    </rPh>
    <rPh sb="2" eb="4">
      <t>ショシ</t>
    </rPh>
    <phoneticPr fontId="22"/>
  </si>
  <si>
    <t>補助者</t>
    <rPh sb="0" eb="3">
      <t>ホジョシャ</t>
    </rPh>
    <phoneticPr fontId="22"/>
  </si>
  <si>
    <t>〒</t>
    <phoneticPr fontId="22"/>
  </si>
  <si>
    <t>住所1</t>
    <rPh sb="0" eb="2">
      <t>ジュウショ</t>
    </rPh>
    <phoneticPr fontId="22"/>
  </si>
  <si>
    <t>住所2</t>
    <rPh sb="0" eb="2">
      <t>ジュウショ</t>
    </rPh>
    <phoneticPr fontId="22"/>
  </si>
  <si>
    <t>TEL</t>
    <phoneticPr fontId="22"/>
  </si>
  <si>
    <t>FAX</t>
    <phoneticPr fontId="22"/>
  </si>
  <si>
    <t>名称</t>
    <rPh sb="0" eb="2">
      <t>メイショウ</t>
    </rPh>
    <phoneticPr fontId="22"/>
  </si>
  <si>
    <t>詳細</t>
    <rPh sb="0" eb="2">
      <t>ショウサイ</t>
    </rPh>
    <phoneticPr fontId="22"/>
  </si>
  <si>
    <t>あり</t>
    <phoneticPr fontId="22"/>
  </si>
  <si>
    <t>伊原慶　</t>
    <phoneticPr fontId="22"/>
  </si>
  <si>
    <t>夫</t>
    <rPh sb="0" eb="1">
      <t>オット</t>
    </rPh>
    <phoneticPr fontId="33"/>
  </si>
  <si>
    <t>司チェ東京</t>
    <rPh sb="0" eb="1">
      <t>シ</t>
    </rPh>
    <rPh sb="3" eb="5">
      <t>トウキョウ</t>
    </rPh>
    <phoneticPr fontId="22"/>
  </si>
  <si>
    <t>103-0028</t>
    <phoneticPr fontId="22"/>
  </si>
  <si>
    <t>東京都中央区八重洲1-7-20</t>
    <phoneticPr fontId="22"/>
  </si>
  <si>
    <t>八重洲口会館2階</t>
    <phoneticPr fontId="22"/>
  </si>
  <si>
    <t>03-6868-8328</t>
    <phoneticPr fontId="22"/>
  </si>
  <si>
    <t>03-6869-5041</t>
    <phoneticPr fontId="22"/>
  </si>
  <si>
    <t>司チェ東京</t>
    <phoneticPr fontId="22"/>
  </si>
  <si>
    <t>司法書士法人チェスター</t>
    <rPh sb="0" eb="6">
      <t>シホウショシホウジン</t>
    </rPh>
    <phoneticPr fontId="22"/>
  </si>
  <si>
    <t>103-0023</t>
    <phoneticPr fontId="22"/>
  </si>
  <si>
    <t>東京都中央区日本橋本町3‐2‐11</t>
    <phoneticPr fontId="22"/>
  </si>
  <si>
    <t>井門日本橋本町ビル4階</t>
    <phoneticPr fontId="22"/>
  </si>
  <si>
    <t>03-6869-5162</t>
    <phoneticPr fontId="22"/>
  </si>
  <si>
    <t>03-6869-5163</t>
    <phoneticPr fontId="22"/>
  </si>
  <si>
    <t>スタンダードプラン</t>
    <phoneticPr fontId="22"/>
  </si>
  <si>
    <t>なし</t>
    <phoneticPr fontId="22"/>
  </si>
  <si>
    <t>浅倉</t>
    <rPh sb="0" eb="2">
      <t>アサクラ</t>
    </rPh>
    <phoneticPr fontId="22"/>
  </si>
  <si>
    <t>050-6861-8498</t>
    <phoneticPr fontId="22"/>
  </si>
  <si>
    <t>浅倉貴行　</t>
    <phoneticPr fontId="22"/>
  </si>
  <si>
    <t>池田絢音　</t>
    <rPh sb="0" eb="2">
      <t>イケダ</t>
    </rPh>
    <rPh sb="2" eb="4">
      <t>アヤネ</t>
    </rPh>
    <phoneticPr fontId="22"/>
  </si>
  <si>
    <t>新宿</t>
    <rPh sb="0" eb="2">
      <t>シンジュク</t>
    </rPh>
    <phoneticPr fontId="22"/>
  </si>
  <si>
    <t>163-0722</t>
    <phoneticPr fontId="22"/>
  </si>
  <si>
    <t>東京都新宿区西新宿2-7-1</t>
    <phoneticPr fontId="22"/>
  </si>
  <si>
    <t>新宿第一生命ビル22階</t>
    <phoneticPr fontId="22"/>
  </si>
  <si>
    <t>03-6868-8941</t>
    <phoneticPr fontId="22"/>
  </si>
  <si>
    <t>03-6869-4741</t>
    <phoneticPr fontId="22"/>
  </si>
  <si>
    <t>司チェ大阪</t>
    <phoneticPr fontId="22"/>
  </si>
  <si>
    <t>司法書士法人チェスター大阪</t>
    <rPh sb="0" eb="6">
      <t>シホウショシホウジン</t>
    </rPh>
    <rPh sb="11" eb="13">
      <t>オオサカ</t>
    </rPh>
    <phoneticPr fontId="22"/>
  </si>
  <si>
    <t>530-0005</t>
    <phoneticPr fontId="22"/>
  </si>
  <si>
    <t>大阪府大阪市北区中之島2-2-2</t>
    <rPh sb="0" eb="11">
      <t>５３０－０００５</t>
    </rPh>
    <phoneticPr fontId="22"/>
  </si>
  <si>
    <t>大阪中之島ビル13階</t>
    <rPh sb="0" eb="2">
      <t>オオサカ</t>
    </rPh>
    <rPh sb="2" eb="5">
      <t>ナカノシマ</t>
    </rPh>
    <rPh sb="9" eb="10">
      <t>カイ</t>
    </rPh>
    <phoneticPr fontId="22"/>
  </si>
  <si>
    <t>06-7878-3450</t>
    <phoneticPr fontId="22"/>
  </si>
  <si>
    <t>06-7878-3451</t>
    <phoneticPr fontId="22"/>
  </si>
  <si>
    <t>被相続人様の
出生～死亡の戸籍（原本）</t>
    <phoneticPr fontId="22"/>
  </si>
  <si>
    <t>フルサポートプラン</t>
    <phoneticPr fontId="22"/>
  </si>
  <si>
    <t>藤本</t>
    <rPh sb="0" eb="2">
      <t>フジモト</t>
    </rPh>
    <phoneticPr fontId="22"/>
  </si>
  <si>
    <t>050-6882-5726</t>
    <phoneticPr fontId="22"/>
  </si>
  <si>
    <t>西田竜介　</t>
    <phoneticPr fontId="22"/>
  </si>
  <si>
    <t>増田千尋　</t>
    <rPh sb="0" eb="2">
      <t>マスダ</t>
    </rPh>
    <rPh sb="2" eb="4">
      <t>チヒロ</t>
    </rPh>
    <phoneticPr fontId="22"/>
  </si>
  <si>
    <t>横浜</t>
    <rPh sb="0" eb="2">
      <t>ヨコハマ</t>
    </rPh>
    <phoneticPr fontId="22"/>
  </si>
  <si>
    <t>221-0835</t>
    <phoneticPr fontId="22"/>
  </si>
  <si>
    <t>045-550-4249</t>
    <phoneticPr fontId="22"/>
  </si>
  <si>
    <t>045-550-3899</t>
    <phoneticPr fontId="22"/>
  </si>
  <si>
    <t>ご署名ご捺印（実印）のうえ、ご返送願います。</t>
    <phoneticPr fontId="29"/>
  </si>
  <si>
    <t>お亡くなりになった日の記載のある除住民票（原本）をご準備いただき、ご返送願います。</t>
  </si>
  <si>
    <t>遺産整理業務（個別積上型）</t>
    <rPh sb="0" eb="2">
      <t>イサン</t>
    </rPh>
    <rPh sb="2" eb="4">
      <t>セイリ</t>
    </rPh>
    <rPh sb="4" eb="6">
      <t>ギョウム</t>
    </rPh>
    <rPh sb="7" eb="9">
      <t>コベツ</t>
    </rPh>
    <rPh sb="9" eb="10">
      <t>ツ</t>
    </rPh>
    <rPh sb="10" eb="11">
      <t>ア</t>
    </rPh>
    <rPh sb="11" eb="12">
      <t>ガタ</t>
    </rPh>
    <phoneticPr fontId="22"/>
  </si>
  <si>
    <t>石川</t>
    <rPh sb="0" eb="2">
      <t>イシカワ</t>
    </rPh>
    <phoneticPr fontId="22"/>
  </si>
  <si>
    <t>050-6882-5719</t>
    <phoneticPr fontId="22"/>
  </si>
  <si>
    <t>藤本義昌　</t>
    <phoneticPr fontId="22"/>
  </si>
  <si>
    <t>川原千里　</t>
    <rPh sb="0" eb="2">
      <t>カワハラ</t>
    </rPh>
    <rPh sb="2" eb="4">
      <t>チサト</t>
    </rPh>
    <phoneticPr fontId="22"/>
  </si>
  <si>
    <t>名古屋</t>
    <rPh sb="0" eb="3">
      <t>ナゴヤ</t>
    </rPh>
    <phoneticPr fontId="22"/>
  </si>
  <si>
    <t>460-0008</t>
    <phoneticPr fontId="22"/>
  </si>
  <si>
    <t>愛知県名古屋市中区栄3-2-3</t>
    <phoneticPr fontId="22"/>
  </si>
  <si>
    <t>名古屋日興證券ビル6階</t>
    <phoneticPr fontId="22"/>
  </si>
  <si>
    <t>052-766-5024</t>
    <phoneticPr fontId="22"/>
  </si>
  <si>
    <t>052-766-6451</t>
    <phoneticPr fontId="22"/>
  </si>
  <si>
    <t>口座の凍結についての確認書</t>
    <phoneticPr fontId="22"/>
  </si>
  <si>
    <t>記載の通りにご対応のうえ、ご返送願います。</t>
    <phoneticPr fontId="29"/>
  </si>
  <si>
    <t>相続人様の
現在の戸籍（原本）
・住民票（原本）</t>
    <phoneticPr fontId="22"/>
  </si>
  <si>
    <t>遺言執行者業務</t>
    <rPh sb="0" eb="2">
      <t>イゴン</t>
    </rPh>
    <rPh sb="2" eb="5">
      <t>シッコウシャ</t>
    </rPh>
    <rPh sb="5" eb="7">
      <t>ギョウム</t>
    </rPh>
    <phoneticPr fontId="22"/>
  </si>
  <si>
    <t>西田</t>
    <rPh sb="0" eb="2">
      <t>ニシダ</t>
    </rPh>
    <phoneticPr fontId="22"/>
  </si>
  <si>
    <t>06-7878-4155</t>
    <phoneticPr fontId="22"/>
  </si>
  <si>
    <t>石川綾子　</t>
    <phoneticPr fontId="22"/>
  </si>
  <si>
    <t>山崎宇紗子　</t>
    <rPh sb="0" eb="2">
      <t>ヤマサキ</t>
    </rPh>
    <rPh sb="2" eb="3">
      <t>ウ</t>
    </rPh>
    <rPh sb="3" eb="5">
      <t>サエコ</t>
    </rPh>
    <phoneticPr fontId="22"/>
  </si>
  <si>
    <t>三男</t>
    <rPh sb="0" eb="2">
      <t>サンナン</t>
    </rPh>
    <phoneticPr fontId="33"/>
  </si>
  <si>
    <t>大阪</t>
    <rPh sb="0" eb="2">
      <t>オオサカ</t>
    </rPh>
    <phoneticPr fontId="22"/>
  </si>
  <si>
    <t>06-7878-8321</t>
    <phoneticPr fontId="22"/>
  </si>
  <si>
    <t>遺言公正証書</t>
    <rPh sb="0" eb="2">
      <t>イゴン</t>
    </rPh>
    <rPh sb="2" eb="6">
      <t>コウセイショウショ</t>
    </rPh>
    <phoneticPr fontId="22"/>
  </si>
  <si>
    <t>「正本」または「謄本」をお預かりされている場合はその全てをご返送願います。</t>
    <rPh sb="1" eb="3">
      <t>セイホン</t>
    </rPh>
    <rPh sb="8" eb="10">
      <t>トウホン</t>
    </rPh>
    <rPh sb="13" eb="14">
      <t>アズ</t>
    </rPh>
    <rPh sb="21" eb="23">
      <t>バアイ</t>
    </rPh>
    <rPh sb="26" eb="27">
      <t>スベ</t>
    </rPh>
    <rPh sb="30" eb="32">
      <t>ヘンソウ</t>
    </rPh>
    <rPh sb="32" eb="33">
      <t>ネガ</t>
    </rPh>
    <phoneticPr fontId="22"/>
  </si>
  <si>
    <t>池田</t>
    <rPh sb="0" eb="2">
      <t>イケダ</t>
    </rPh>
    <phoneticPr fontId="22"/>
  </si>
  <si>
    <t>050-6865-6198</t>
    <phoneticPr fontId="22"/>
  </si>
  <si>
    <t>吉田幸寛　</t>
    <phoneticPr fontId="22"/>
  </si>
  <si>
    <t>君島絵梨　</t>
    <rPh sb="0" eb="2">
      <t>キミジマ</t>
    </rPh>
    <rPh sb="2" eb="4">
      <t>エリ</t>
    </rPh>
    <phoneticPr fontId="22"/>
  </si>
  <si>
    <t>四男</t>
    <rPh sb="0" eb="2">
      <t>ヨンナン</t>
    </rPh>
    <phoneticPr fontId="33"/>
  </si>
  <si>
    <t>わかる範囲でご記入願います。
※ご住所、本籍地、筆頭者が不明の場合、通常より戸籍収集にお時間を要する場合がございますこと、予めご了承ください。</t>
    <rPh sb="3" eb="5">
      <t>ハンイ</t>
    </rPh>
    <rPh sb="7" eb="9">
      <t>キニュウ</t>
    </rPh>
    <rPh sb="9" eb="10">
      <t>ネガ</t>
    </rPh>
    <rPh sb="17" eb="19">
      <t>ジュウショ</t>
    </rPh>
    <rPh sb="20" eb="23">
      <t>ホンセキチ</t>
    </rPh>
    <rPh sb="24" eb="27">
      <t>ヒットウシャ</t>
    </rPh>
    <rPh sb="28" eb="30">
      <t>フメイ</t>
    </rPh>
    <rPh sb="31" eb="33">
      <t>バアイ</t>
    </rPh>
    <rPh sb="34" eb="36">
      <t>ツウジョウ</t>
    </rPh>
    <rPh sb="44" eb="46">
      <t>ジカン</t>
    </rPh>
    <rPh sb="47" eb="48">
      <t>ヨウ</t>
    </rPh>
    <rPh sb="50" eb="52">
      <t>バアイ</t>
    </rPh>
    <rPh sb="61" eb="62">
      <t>アラカジ</t>
    </rPh>
    <rPh sb="64" eb="66">
      <t>リョウショウ</t>
    </rPh>
    <phoneticPr fontId="29"/>
  </si>
  <si>
    <t>吉田</t>
    <rPh sb="0" eb="2">
      <t>ヨシダ</t>
    </rPh>
    <phoneticPr fontId="22"/>
  </si>
  <si>
    <t>050-6861-8155</t>
    <phoneticPr fontId="22"/>
  </si>
  <si>
    <t>金井佑介　</t>
    <phoneticPr fontId="22"/>
  </si>
  <si>
    <t>青柳由里子　</t>
    <rPh sb="0" eb="2">
      <t>アオヤギ</t>
    </rPh>
    <rPh sb="2" eb="5">
      <t>ユリコ</t>
    </rPh>
    <phoneticPr fontId="22"/>
  </si>
  <si>
    <t>五男</t>
    <rPh sb="0" eb="2">
      <t>ゴナン</t>
    </rPh>
    <phoneticPr fontId="33"/>
  </si>
  <si>
    <t>相続人連絡先等一覧</t>
    <rPh sb="0" eb="2">
      <t>ソウゾク</t>
    </rPh>
    <rPh sb="2" eb="3">
      <t>ニン</t>
    </rPh>
    <rPh sb="3" eb="6">
      <t>レンラクサキ</t>
    </rPh>
    <rPh sb="6" eb="7">
      <t>トウ</t>
    </rPh>
    <rPh sb="7" eb="9">
      <t>イチラン</t>
    </rPh>
    <phoneticPr fontId="29"/>
  </si>
  <si>
    <t>050-6882-5723</t>
    <phoneticPr fontId="22"/>
  </si>
  <si>
    <t>山口知代　</t>
    <rPh sb="0" eb="2">
      <t>ヤマグチ</t>
    </rPh>
    <rPh sb="2" eb="4">
      <t>トモヨ</t>
    </rPh>
    <phoneticPr fontId="22"/>
  </si>
  <si>
    <t>　</t>
    <phoneticPr fontId="22"/>
  </si>
  <si>
    <t>川原</t>
    <rPh sb="0" eb="2">
      <t>カワハラ</t>
    </rPh>
    <phoneticPr fontId="22"/>
  </si>
  <si>
    <t>050-6882-5720</t>
    <phoneticPr fontId="22"/>
  </si>
  <si>
    <t>増田波輝　</t>
    <rPh sb="0" eb="2">
      <t>マスダ</t>
    </rPh>
    <rPh sb="2" eb="3">
      <t>ナミ</t>
    </rPh>
    <rPh sb="3" eb="4">
      <t>テル</t>
    </rPh>
    <phoneticPr fontId="22"/>
  </si>
  <si>
    <t>君島</t>
    <rPh sb="0" eb="2">
      <t>キミジマ</t>
    </rPh>
    <phoneticPr fontId="22"/>
  </si>
  <si>
    <t>栗原</t>
    <rPh sb="0" eb="2">
      <t>クリハラ</t>
    </rPh>
    <phoneticPr fontId="22"/>
  </si>
  <si>
    <t>050-6861-8542</t>
    <phoneticPr fontId="22"/>
  </si>
  <si>
    <t>佐竹彩　</t>
    <rPh sb="0" eb="2">
      <t>サタケ</t>
    </rPh>
    <rPh sb="2" eb="3">
      <t>アヤ</t>
    </rPh>
    <phoneticPr fontId="22"/>
  </si>
  <si>
    <t>山崎</t>
    <rPh sb="0" eb="2">
      <t>ヤマサキ</t>
    </rPh>
    <phoneticPr fontId="22"/>
  </si>
  <si>
    <t>050-6861-8090</t>
    <phoneticPr fontId="22"/>
  </si>
  <si>
    <t>五女</t>
    <rPh sb="0" eb="2">
      <t>ゴジョ</t>
    </rPh>
    <phoneticPr fontId="33"/>
  </si>
  <si>
    <t>青柳</t>
    <rPh sb="0" eb="2">
      <t>アオヤギ</t>
    </rPh>
    <phoneticPr fontId="22"/>
  </si>
  <si>
    <t>050-6861-8142</t>
    <phoneticPr fontId="22"/>
  </si>
  <si>
    <t>養子</t>
    <rPh sb="0" eb="2">
      <t>ヨウシ</t>
    </rPh>
    <phoneticPr fontId="33"/>
  </si>
  <si>
    <t>山口</t>
    <rPh sb="0" eb="2">
      <t>ヤマグチ</t>
    </rPh>
    <phoneticPr fontId="22"/>
  </si>
  <si>
    <t>050-6861-5377</t>
    <phoneticPr fontId="22"/>
  </si>
  <si>
    <t>050-6861-5751</t>
    <phoneticPr fontId="22"/>
  </si>
  <si>
    <t>佐野雅絵　</t>
    <rPh sb="0" eb="2">
      <t>サノ</t>
    </rPh>
    <rPh sb="2" eb="4">
      <t>マサエ</t>
    </rPh>
    <phoneticPr fontId="22"/>
  </si>
  <si>
    <t>養父</t>
    <rPh sb="0" eb="2">
      <t>ヨウフ</t>
    </rPh>
    <phoneticPr fontId="33"/>
  </si>
  <si>
    <t>養母</t>
    <rPh sb="0" eb="2">
      <t>ヨウボ</t>
    </rPh>
    <phoneticPr fontId="33"/>
  </si>
  <si>
    <t>佐竹</t>
    <rPh sb="0" eb="2">
      <t>サタケ</t>
    </rPh>
    <phoneticPr fontId="22"/>
  </si>
  <si>
    <t>石井</t>
    <rPh sb="0" eb="2">
      <t>イシイ</t>
    </rPh>
    <phoneticPr fontId="22"/>
  </si>
  <si>
    <t>050-6883-0136</t>
    <phoneticPr fontId="22"/>
  </si>
  <si>
    <t>松本</t>
    <rPh sb="0" eb="2">
      <t>マツモト</t>
    </rPh>
    <phoneticPr fontId="22"/>
  </si>
  <si>
    <t>金井</t>
    <rPh sb="0" eb="2">
      <t>カナイ</t>
    </rPh>
    <phoneticPr fontId="22"/>
  </si>
  <si>
    <t>050-6883-4012</t>
    <phoneticPr fontId="22"/>
  </si>
  <si>
    <t>佐野</t>
    <rPh sb="0" eb="2">
      <t>サノ</t>
    </rPh>
    <phoneticPr fontId="22"/>
  </si>
  <si>
    <t>052-766-6459</t>
    <phoneticPr fontId="22"/>
  </si>
  <si>
    <t>弟</t>
    <rPh sb="0" eb="1">
      <t>オトウト</t>
    </rPh>
    <phoneticPr fontId="33"/>
  </si>
  <si>
    <t>柴田</t>
    <rPh sb="0" eb="2">
      <t>シバタ</t>
    </rPh>
    <phoneticPr fontId="22"/>
  </si>
  <si>
    <t>050-6883-0604</t>
    <phoneticPr fontId="22"/>
  </si>
  <si>
    <t>姪・代襲者</t>
    <rPh sb="0" eb="1">
      <t>メイ</t>
    </rPh>
    <rPh sb="2" eb="4">
      <t>ダイシュウ</t>
    </rPh>
    <rPh sb="4" eb="5">
      <t>シャ</t>
    </rPh>
    <phoneticPr fontId="33"/>
  </si>
  <si>
    <t>宮城</t>
    <rPh sb="0" eb="2">
      <t>ミヤギ</t>
    </rPh>
    <phoneticPr fontId="22"/>
  </si>
  <si>
    <t>今般の相続に関する法定相続情報一覧図（原本）をご取得済みの場合は、右記通数ご返送願います。</t>
    <rPh sb="0" eb="2">
      <t>コンパン</t>
    </rPh>
    <rPh sb="3" eb="5">
      <t>ソウゾク</t>
    </rPh>
    <rPh sb="6" eb="7">
      <t>カン</t>
    </rPh>
    <rPh sb="9" eb="18">
      <t>ホウテイソウゾクジョウホウイチランズ</t>
    </rPh>
    <rPh sb="19" eb="21">
      <t>ゲンポン</t>
    </rPh>
    <rPh sb="24" eb="26">
      <t>シュトク</t>
    </rPh>
    <rPh sb="26" eb="27">
      <t>ズ</t>
    </rPh>
    <rPh sb="29" eb="31">
      <t>バアイ</t>
    </rPh>
    <rPh sb="33" eb="35">
      <t>ウキ</t>
    </rPh>
    <rPh sb="35" eb="36">
      <t>ツウ</t>
    </rPh>
    <rPh sb="36" eb="37">
      <t>スウ</t>
    </rPh>
    <rPh sb="38" eb="40">
      <t>ヘンソウ</t>
    </rPh>
    <rPh sb="40" eb="41">
      <t>ネガ</t>
    </rPh>
    <phoneticPr fontId="22"/>
  </si>
  <si>
    <t>返信用封筒(書類の返送にご使用ください)</t>
    <rPh sb="0" eb="3">
      <t>ヘンシンヨウ</t>
    </rPh>
    <rPh sb="3" eb="5">
      <t>フウトウ</t>
    </rPh>
    <rPh sb="6" eb="8">
      <t>ショルイ</t>
    </rPh>
    <rPh sb="9" eb="11">
      <t>ヘンソウ</t>
    </rPh>
    <rPh sb="13" eb="15">
      <t>シヨウ</t>
    </rPh>
    <phoneticPr fontId="22"/>
  </si>
  <si>
    <t>養女</t>
    <rPh sb="0" eb="2">
      <t>ヨウジョ</t>
    </rPh>
    <phoneticPr fontId="33"/>
  </si>
  <si>
    <t>孫・代襲者</t>
    <rPh sb="0" eb="1">
      <t>マゴ</t>
    </rPh>
    <rPh sb="2" eb="4">
      <t>ダイシュウ</t>
    </rPh>
    <rPh sb="4" eb="5">
      <t>シャ</t>
    </rPh>
    <phoneticPr fontId="22"/>
  </si>
  <si>
    <t>配偶者</t>
    <rPh sb="0" eb="3">
      <t>ハイグウシャ</t>
    </rPh>
    <phoneticPr fontId="22"/>
  </si>
  <si>
    <t>相続人</t>
    <rPh sb="0" eb="3">
      <t>ソウゾクニン</t>
    </rPh>
    <phoneticPr fontId="22"/>
  </si>
  <si>
    <t>法定相続情報</t>
    <rPh sb="0" eb="2">
      <t>ホウテイ</t>
    </rPh>
    <rPh sb="2" eb="4">
      <t>ソウゾク</t>
    </rPh>
    <rPh sb="4" eb="6">
      <t>ジョウホウ</t>
    </rPh>
    <phoneticPr fontId="22"/>
  </si>
  <si>
    <t>戸籍</t>
    <rPh sb="0" eb="2">
      <t>コセキ</t>
    </rPh>
    <phoneticPr fontId="22"/>
  </si>
  <si>
    <t>対象者</t>
    <rPh sb="0" eb="3">
      <t>タイショウシャ</t>
    </rPh>
    <phoneticPr fontId="22"/>
  </si>
  <si>
    <t>戸籍担当者</t>
    <rPh sb="0" eb="2">
      <t>コセキ</t>
    </rPh>
    <rPh sb="2" eb="5">
      <t>タントウシャ</t>
    </rPh>
    <phoneticPr fontId="22"/>
  </si>
  <si>
    <t>担当者</t>
    <rPh sb="0" eb="3">
      <t>タントウシャ</t>
    </rPh>
    <phoneticPr fontId="22"/>
  </si>
  <si>
    <t>方書</t>
    <rPh sb="0" eb="1">
      <t>ホウ</t>
    </rPh>
    <rPh sb="1" eb="2">
      <t>カ</t>
    </rPh>
    <phoneticPr fontId="1"/>
  </si>
  <si>
    <t>増田　千尋</t>
    <rPh sb="0" eb="2">
      <t>マスダ</t>
    </rPh>
    <rPh sb="3" eb="5">
      <t>チヒロ</t>
    </rPh>
    <phoneticPr fontId="22"/>
  </si>
  <si>
    <t>増田</t>
    <rPh sb="0" eb="2">
      <t>マスダ</t>
    </rPh>
    <phoneticPr fontId="22"/>
  </si>
  <si>
    <t>登記簿上の氏名</t>
    <rPh sb="0" eb="3">
      <t>トウキボ</t>
    </rPh>
    <rPh sb="3" eb="4">
      <t>ジョウ</t>
    </rPh>
    <rPh sb="5" eb="7">
      <t>シメイ</t>
    </rPh>
    <phoneticPr fontId="1"/>
  </si>
  <si>
    <t>印鑑証明書 （原本）</t>
    <rPh sb="0" eb="2">
      <t>インカン</t>
    </rPh>
    <rPh sb="2" eb="5">
      <t>ショウメイショ</t>
    </rPh>
    <rPh sb="7" eb="9">
      <t>ゲンポン</t>
    </rPh>
    <phoneticPr fontId="22"/>
  </si>
  <si>
    <t>御見積書</t>
    <rPh sb="0" eb="4">
      <t>オミツモリショ</t>
    </rPh>
    <phoneticPr fontId="22"/>
  </si>
  <si>
    <t xml:space="preserve"> </t>
    <phoneticPr fontId="22"/>
  </si>
  <si>
    <t>清水</t>
    <rPh sb="0" eb="2">
      <t>シミズ</t>
    </rPh>
    <phoneticPr fontId="22"/>
  </si>
  <si>
    <t>050-6883-2132</t>
    <phoneticPr fontId="22"/>
  </si>
  <si>
    <t>布施</t>
    <phoneticPr fontId="22"/>
  </si>
  <si>
    <t>050-6883-4015</t>
    <phoneticPr fontId="22"/>
  </si>
  <si>
    <t>丸山</t>
    <phoneticPr fontId="22"/>
  </si>
  <si>
    <t>附票及び住民票は戸籍との同一性を担保するため、本籍及び筆頭者の記載をお願い致します。</t>
    <rPh sb="0" eb="2">
      <t>フヒョウ</t>
    </rPh>
    <rPh sb="2" eb="3">
      <t>オヨ</t>
    </rPh>
    <rPh sb="4" eb="7">
      <t>ジュウミンヒョウ</t>
    </rPh>
    <rPh sb="31" eb="33">
      <t>キサイ</t>
    </rPh>
    <phoneticPr fontId="1"/>
  </si>
  <si>
    <t>附票及び住民票は戸籍との同一性を担保するため、本籍及び筆頭者の記載をお願い致します。</t>
    <phoneticPr fontId="1"/>
  </si>
  <si>
    <t>物件の評価額及び家屋番号の記載</t>
    <rPh sb="0" eb="2">
      <t>ブッケン</t>
    </rPh>
    <rPh sb="3" eb="5">
      <t>ヒョウカ</t>
    </rPh>
    <rPh sb="5" eb="6">
      <t>ガク</t>
    </rPh>
    <rPh sb="6" eb="7">
      <t>オヨ</t>
    </rPh>
    <rPh sb="8" eb="10">
      <t>カオク</t>
    </rPh>
    <rPh sb="10" eb="12">
      <t>バンゴウ</t>
    </rPh>
    <rPh sb="13" eb="15">
      <t>キサイ</t>
    </rPh>
    <phoneticPr fontId="1"/>
  </si>
  <si>
    <t>ご署名のうえ、1通をお手元に保管いただき、残り1通をご返送願います。</t>
    <phoneticPr fontId="22"/>
  </si>
  <si>
    <t>布施祐太郎　</t>
    <phoneticPr fontId="22"/>
  </si>
  <si>
    <t>050-6883-6132</t>
    <phoneticPr fontId="22"/>
  </si>
  <si>
    <t>宮城明香　</t>
    <rPh sb="0" eb="2">
      <t>ミヤギ</t>
    </rPh>
    <rPh sb="2" eb="4">
      <t>メイカ</t>
    </rPh>
    <phoneticPr fontId="22"/>
  </si>
  <si>
    <t>丸山慧子　</t>
    <phoneticPr fontId="22"/>
  </si>
  <si>
    <t>森中</t>
    <rPh sb="0" eb="2">
      <t>モリナカ</t>
    </rPh>
    <phoneticPr fontId="22"/>
  </si>
  <si>
    <t>⒌戸籍担当</t>
    <rPh sb="1" eb="3">
      <t>コセキ</t>
    </rPh>
    <rPh sb="3" eb="5">
      <t>タントウ</t>
    </rPh>
    <phoneticPr fontId="22"/>
  </si>
  <si>
    <t>⒍金融機関　基本情報</t>
    <rPh sb="1" eb="5">
      <t>キンユウキカン</t>
    </rPh>
    <rPh sb="6" eb="10">
      <t>キホンジョウホウ</t>
    </rPh>
    <phoneticPr fontId="22"/>
  </si>
  <si>
    <t>・ご依頼いただく金融機関について、既に判明している情報を入力してください</t>
    <rPh sb="2" eb="4">
      <t>イライ</t>
    </rPh>
    <rPh sb="8" eb="12">
      <t>キンユウキカン</t>
    </rPh>
    <rPh sb="17" eb="18">
      <t>スデ</t>
    </rPh>
    <rPh sb="19" eb="21">
      <t>ハンメイ</t>
    </rPh>
    <rPh sb="25" eb="27">
      <t>ジョウホウ</t>
    </rPh>
    <rPh sb="28" eb="30">
      <t>ニュウリョク</t>
    </rPh>
    <phoneticPr fontId="22"/>
  </si>
  <si>
    <t>金融機関№</t>
    <rPh sb="0" eb="2">
      <t>キンユウ</t>
    </rPh>
    <rPh sb="2" eb="4">
      <t>キカン</t>
    </rPh>
    <phoneticPr fontId="22"/>
  </si>
  <si>
    <t>行名</t>
    <rPh sb="0" eb="2">
      <t>コウメイ</t>
    </rPh>
    <phoneticPr fontId="22"/>
  </si>
  <si>
    <t>支店名</t>
    <rPh sb="0" eb="3">
      <t>シテンメイ</t>
    </rPh>
    <phoneticPr fontId="22"/>
  </si>
  <si>
    <t>種類</t>
    <phoneticPr fontId="22"/>
  </si>
  <si>
    <t>口座番号</t>
    <rPh sb="0" eb="4">
      <t>コウザバンゴウ</t>
    </rPh>
    <phoneticPr fontId="22"/>
  </si>
  <si>
    <t>①</t>
    <phoneticPr fontId="22"/>
  </si>
  <si>
    <t>ゆうちょ銀行</t>
    <rPh sb="4" eb="6">
      <t>ギンコウ</t>
    </rPh>
    <phoneticPr fontId="22"/>
  </si>
  <si>
    <t>②</t>
    <phoneticPr fontId="22"/>
  </si>
  <si>
    <t>みずほ銀行</t>
    <rPh sb="3" eb="5">
      <t>ギンコウ</t>
    </rPh>
    <phoneticPr fontId="22"/>
  </si>
  <si>
    <t>③</t>
    <phoneticPr fontId="22"/>
  </si>
  <si>
    <t>りそな銀行</t>
    <rPh sb="3" eb="5">
      <t>ギンコウ</t>
    </rPh>
    <phoneticPr fontId="22"/>
  </si>
  <si>
    <t>④</t>
    <phoneticPr fontId="22"/>
  </si>
  <si>
    <t>三菱UFJ銀行</t>
    <rPh sb="0" eb="2">
      <t>ミツビシ</t>
    </rPh>
    <rPh sb="5" eb="7">
      <t>ギンコウ</t>
    </rPh>
    <phoneticPr fontId="22"/>
  </si>
  <si>
    <t>⑤</t>
    <phoneticPr fontId="22"/>
  </si>
  <si>
    <t>三菱UFJ信託銀行</t>
    <rPh sb="0" eb="2">
      <t>ミツビシ</t>
    </rPh>
    <rPh sb="5" eb="7">
      <t>シンタク</t>
    </rPh>
    <phoneticPr fontId="22"/>
  </si>
  <si>
    <t>⑥</t>
    <phoneticPr fontId="22"/>
  </si>
  <si>
    <t>三井住友信託銀行</t>
    <rPh sb="0" eb="6">
      <t>ミツイスミトモシンタク</t>
    </rPh>
    <rPh sb="6" eb="8">
      <t>ギンコウ</t>
    </rPh>
    <phoneticPr fontId="22"/>
  </si>
  <si>
    <t>⑦</t>
    <phoneticPr fontId="22"/>
  </si>
  <si>
    <t>みずほ信託銀行</t>
    <rPh sb="3" eb="5">
      <t>シンタク</t>
    </rPh>
    <rPh sb="5" eb="7">
      <t>ギンコウ</t>
    </rPh>
    <phoneticPr fontId="22"/>
  </si>
  <si>
    <t>⑧</t>
    <phoneticPr fontId="22"/>
  </si>
  <si>
    <t>横浜銀行</t>
    <rPh sb="0" eb="4">
      <t>ヨコハマギンコウ</t>
    </rPh>
    <phoneticPr fontId="22"/>
  </si>
  <si>
    <t>⑨</t>
    <phoneticPr fontId="22"/>
  </si>
  <si>
    <t>きらぼし銀行</t>
    <rPh sb="4" eb="6">
      <t>ギンコウ</t>
    </rPh>
    <phoneticPr fontId="22"/>
  </si>
  <si>
    <t>⑩</t>
    <phoneticPr fontId="22"/>
  </si>
  <si>
    <t>静岡銀行</t>
    <rPh sb="0" eb="2">
      <t>シズオカ</t>
    </rPh>
    <rPh sb="2" eb="4">
      <t>ギンコウ</t>
    </rPh>
    <phoneticPr fontId="22"/>
  </si>
  <si>
    <t>⑪</t>
    <phoneticPr fontId="22"/>
  </si>
  <si>
    <t>新生銀行</t>
    <rPh sb="0" eb="2">
      <t>シンセイ</t>
    </rPh>
    <rPh sb="2" eb="4">
      <t>ギンコウ</t>
    </rPh>
    <phoneticPr fontId="22"/>
  </si>
  <si>
    <t>⑫</t>
    <phoneticPr fontId="22"/>
  </si>
  <si>
    <t>セブン銀行</t>
    <rPh sb="3" eb="5">
      <t>ギンコウ</t>
    </rPh>
    <phoneticPr fontId="22"/>
  </si>
  <si>
    <t>⑬</t>
    <phoneticPr fontId="22"/>
  </si>
  <si>
    <t>中国銀行</t>
    <rPh sb="0" eb="4">
      <t>チュウゴクギンコウ</t>
    </rPh>
    <phoneticPr fontId="22"/>
  </si>
  <si>
    <t>⑭</t>
    <phoneticPr fontId="22"/>
  </si>
  <si>
    <t>福岡銀行</t>
    <rPh sb="0" eb="2">
      <t>フクオカ</t>
    </rPh>
    <rPh sb="2" eb="4">
      <t>ギンコウ</t>
    </rPh>
    <phoneticPr fontId="22"/>
  </si>
  <si>
    <t>⑮</t>
    <phoneticPr fontId="22"/>
  </si>
  <si>
    <t>西日本シティ銀行</t>
    <rPh sb="0" eb="3">
      <t>ニシニホン</t>
    </rPh>
    <rPh sb="6" eb="8">
      <t>ギンコウ</t>
    </rPh>
    <phoneticPr fontId="22"/>
  </si>
  <si>
    <t>⑯</t>
    <phoneticPr fontId="22"/>
  </si>
  <si>
    <t>千葉銀行</t>
    <rPh sb="0" eb="4">
      <t>チバギンコウ</t>
    </rPh>
    <phoneticPr fontId="22"/>
  </si>
  <si>
    <t>⑰</t>
    <phoneticPr fontId="22"/>
  </si>
  <si>
    <t>大垣共立銀行</t>
    <rPh sb="0" eb="2">
      <t>オオガキ</t>
    </rPh>
    <rPh sb="2" eb="4">
      <t>キョウリツ</t>
    </rPh>
    <rPh sb="4" eb="6">
      <t>ギンコウ</t>
    </rPh>
    <phoneticPr fontId="22"/>
  </si>
  <si>
    <t>⑱</t>
    <phoneticPr fontId="22"/>
  </si>
  <si>
    <t>愛知銀行</t>
    <rPh sb="0" eb="2">
      <t>アイチ</t>
    </rPh>
    <rPh sb="2" eb="4">
      <t>ギンコウ</t>
    </rPh>
    <phoneticPr fontId="22"/>
  </si>
  <si>
    <t>⑲</t>
    <phoneticPr fontId="22"/>
  </si>
  <si>
    <t>埼玉りそな銀行</t>
    <rPh sb="0" eb="2">
      <t>サイタマ</t>
    </rPh>
    <rPh sb="5" eb="7">
      <t>ギンコウ</t>
    </rPh>
    <phoneticPr fontId="22"/>
  </si>
  <si>
    <t>京葉銀行</t>
    <rPh sb="0" eb="4">
      <t>ケイヨウギンコウ</t>
    </rPh>
    <phoneticPr fontId="22"/>
  </si>
  <si>
    <t>スルガ銀行</t>
    <rPh sb="3" eb="5">
      <t>ギンコウ</t>
    </rPh>
    <phoneticPr fontId="22"/>
  </si>
  <si>
    <t>三井住友銀行</t>
    <rPh sb="0" eb="4">
      <t>ミツイスミトモ</t>
    </rPh>
    <rPh sb="4" eb="6">
      <t>ギンコウ</t>
    </rPh>
    <phoneticPr fontId="22"/>
  </si>
  <si>
    <t>住信SBIネット銀行</t>
    <phoneticPr fontId="22"/>
  </si>
  <si>
    <t>SMBC日興証券</t>
    <rPh sb="4" eb="6">
      <t>ニッコウ</t>
    </rPh>
    <rPh sb="6" eb="8">
      <t>ショウケン</t>
    </rPh>
    <phoneticPr fontId="22"/>
  </si>
  <si>
    <t>大和証券</t>
    <rPh sb="0" eb="4">
      <t>ダイワショウケン</t>
    </rPh>
    <phoneticPr fontId="22"/>
  </si>
  <si>
    <t>岡三証券</t>
    <rPh sb="0" eb="2">
      <t>オカサン</t>
    </rPh>
    <rPh sb="2" eb="4">
      <t>ショウケン</t>
    </rPh>
    <phoneticPr fontId="22"/>
  </si>
  <si>
    <t>みずほ証券</t>
    <rPh sb="3" eb="5">
      <t>ショウケン</t>
    </rPh>
    <phoneticPr fontId="22"/>
  </si>
  <si>
    <t>丸三証券</t>
    <rPh sb="0" eb="2">
      <t>マルサン</t>
    </rPh>
    <rPh sb="2" eb="4">
      <t>ショウケン</t>
    </rPh>
    <phoneticPr fontId="22"/>
  </si>
  <si>
    <t>東海東京証券</t>
    <phoneticPr fontId="22"/>
  </si>
  <si>
    <t>SBI証券</t>
    <rPh sb="3" eb="5">
      <t>ショウケン</t>
    </rPh>
    <phoneticPr fontId="22"/>
  </si>
  <si>
    <t>楽天証券</t>
    <rPh sb="0" eb="4">
      <t>ラクテンショウケン</t>
    </rPh>
    <phoneticPr fontId="22"/>
  </si>
  <si>
    <t>モルガンスタンレー証券</t>
    <rPh sb="9" eb="11">
      <t>ショウケン</t>
    </rPh>
    <phoneticPr fontId="22"/>
  </si>
  <si>
    <t>アイザワ証券</t>
    <rPh sb="4" eb="6">
      <t>ショウケン</t>
    </rPh>
    <phoneticPr fontId="22"/>
  </si>
  <si>
    <t>いちよし証券</t>
  </si>
  <si>
    <t>立花証券</t>
    <phoneticPr fontId="22"/>
  </si>
  <si>
    <t>マネックス証券</t>
    <rPh sb="5" eb="7">
      <t>ショウケン</t>
    </rPh>
    <phoneticPr fontId="22"/>
  </si>
  <si>
    <t>朝日信用金庫</t>
    <rPh sb="0" eb="4">
      <t>アサヒシンヨウ</t>
    </rPh>
    <rPh sb="4" eb="6">
      <t>キンコ</t>
    </rPh>
    <phoneticPr fontId="22"/>
  </si>
  <si>
    <t>青梅信用金庫</t>
    <rPh sb="0" eb="2">
      <t>アオウメ</t>
    </rPh>
    <rPh sb="2" eb="6">
      <t>シンヨウキンコ</t>
    </rPh>
    <phoneticPr fontId="22"/>
  </si>
  <si>
    <t>さわやか信用金庫</t>
    <rPh sb="4" eb="8">
      <t>シンヨウキンコ</t>
    </rPh>
    <phoneticPr fontId="22"/>
  </si>
  <si>
    <t>西武信用金庫</t>
    <rPh sb="0" eb="2">
      <t>セイブ</t>
    </rPh>
    <rPh sb="2" eb="6">
      <t>シンヨウキンコ</t>
    </rPh>
    <phoneticPr fontId="22"/>
  </si>
  <si>
    <t>城南信用金庫</t>
    <rPh sb="0" eb="6">
      <t>ジョウナンシンヨウキンコ</t>
    </rPh>
    <phoneticPr fontId="22"/>
  </si>
  <si>
    <t>多摩信用金庫</t>
    <rPh sb="0" eb="6">
      <t>タマシンヨウキンコ</t>
    </rPh>
    <phoneticPr fontId="22"/>
  </si>
  <si>
    <t>城北信用金庫</t>
    <rPh sb="0" eb="6">
      <t>ジョウホクシンヨウキンコ</t>
    </rPh>
    <phoneticPr fontId="22"/>
  </si>
  <si>
    <t>京都銀行</t>
    <rPh sb="0" eb="4">
      <t>キョウトギンコウ</t>
    </rPh>
    <phoneticPr fontId="22"/>
  </si>
  <si>
    <t>関西みらい銀行</t>
    <rPh sb="0" eb="2">
      <t>カンサイ</t>
    </rPh>
    <rPh sb="5" eb="7">
      <t>ギンコウ</t>
    </rPh>
    <phoneticPr fontId="22"/>
  </si>
  <si>
    <t>京都信用金庫</t>
    <rPh sb="0" eb="6">
      <t>キョウトシンヨウキンコ</t>
    </rPh>
    <phoneticPr fontId="22"/>
  </si>
  <si>
    <t>京都中央信用金庫</t>
    <rPh sb="0" eb="8">
      <t>キョウトチュウオウシンヨウキンコ</t>
    </rPh>
    <phoneticPr fontId="22"/>
  </si>
  <si>
    <t>みなと銀行</t>
  </si>
  <si>
    <t>但馬銀行</t>
  </si>
  <si>
    <t>兵庫信用金庫</t>
  </si>
  <si>
    <t>日新信用金庫</t>
    <phoneticPr fontId="22"/>
  </si>
  <si>
    <t>瀬戸信用金庫</t>
  </si>
  <si>
    <t>群馬銀行</t>
  </si>
  <si>
    <t>ソニー銀行</t>
  </si>
  <si>
    <t>Paypay銀行</t>
  </si>
  <si>
    <t>auじぶん銀行</t>
    <phoneticPr fontId="22"/>
  </si>
  <si>
    <t>イオン銀行</t>
  </si>
  <si>
    <t>名古屋銀行</t>
  </si>
  <si>
    <t>中京銀行</t>
  </si>
  <si>
    <t>十六銀行</t>
    <phoneticPr fontId="22"/>
  </si>
  <si>
    <t>・こちらの『基本情報入力』シートの【⒈基本情報】~【⒋被相続人・相続人　基本情報】に必要事項を入力ください</t>
    <rPh sb="6" eb="10">
      <t>キホンジョウホウ</t>
    </rPh>
    <rPh sb="10" eb="12">
      <t>ニュウリョク</t>
    </rPh>
    <rPh sb="19" eb="21">
      <t>キホン</t>
    </rPh>
    <rPh sb="21" eb="23">
      <t>ジョウホウ</t>
    </rPh>
    <rPh sb="27" eb="28">
      <t>ヒ</t>
    </rPh>
    <rPh sb="28" eb="30">
      <t>ソウゾク</t>
    </rPh>
    <rPh sb="30" eb="31">
      <t>ニン</t>
    </rPh>
    <rPh sb="32" eb="35">
      <t>ソウゾクニン</t>
    </rPh>
    <rPh sb="36" eb="38">
      <t>キホン</t>
    </rPh>
    <rPh sb="38" eb="40">
      <t>ジョウホウ</t>
    </rPh>
    <rPh sb="42" eb="44">
      <t>ヒツヨウ</t>
    </rPh>
    <rPh sb="44" eb="46">
      <t>ジコウ</t>
    </rPh>
    <rPh sb="47" eb="49">
      <t>ニュウリョク</t>
    </rPh>
    <phoneticPr fontId="22"/>
  </si>
  <si>
    <t>・ヒアリングシートを参考に【⒍金融機関　基本情報】と【⒎不動産　基本情報】に必要事項を入力ください</t>
    <rPh sb="10" eb="12">
      <t>サンコウ</t>
    </rPh>
    <rPh sb="28" eb="31">
      <t>フドウサン</t>
    </rPh>
    <rPh sb="32" eb="34">
      <t>キホン</t>
    </rPh>
    <rPh sb="34" eb="36">
      <t>ジョウホウ</t>
    </rPh>
    <phoneticPr fontId="22"/>
  </si>
  <si>
    <t>・戸籍担当へ戸籍収集等を依頼される場合、『戸籍収集引継書』の14行より下、指示部分は直接入力ください</t>
    <rPh sb="1" eb="3">
      <t>コセキ</t>
    </rPh>
    <rPh sb="3" eb="5">
      <t>タントウ</t>
    </rPh>
    <rPh sb="10" eb="11">
      <t>トウ</t>
    </rPh>
    <rPh sb="12" eb="14">
      <t>イライ</t>
    </rPh>
    <rPh sb="17" eb="19">
      <t>バアイ</t>
    </rPh>
    <rPh sb="21" eb="23">
      <t>コセキ</t>
    </rPh>
    <rPh sb="23" eb="25">
      <t>シュウシュウ</t>
    </rPh>
    <rPh sb="25" eb="26">
      <t>ヒ</t>
    </rPh>
    <rPh sb="26" eb="27">
      <t>ツ</t>
    </rPh>
    <rPh sb="27" eb="28">
      <t>ショ</t>
    </rPh>
    <rPh sb="32" eb="33">
      <t>ギョウ</t>
    </rPh>
    <rPh sb="35" eb="36">
      <t>シタ</t>
    </rPh>
    <rPh sb="37" eb="39">
      <t>シジ</t>
    </rPh>
    <rPh sb="39" eb="41">
      <t>ブブン</t>
    </rPh>
    <rPh sb="42" eb="44">
      <t>チョクセツ</t>
    </rPh>
    <rPh sb="44" eb="46">
      <t>ニュウリョク</t>
    </rPh>
    <phoneticPr fontId="22"/>
  </si>
  <si>
    <t>・『送付状』『返送書類リスト』は印刷後、分けずにホチキス止めして、まとめて送付ください</t>
    <rPh sb="2" eb="4">
      <t>ソウフ</t>
    </rPh>
    <rPh sb="4" eb="5">
      <t>ジョウ</t>
    </rPh>
    <rPh sb="7" eb="9">
      <t>ヘンソウ</t>
    </rPh>
    <rPh sb="9" eb="11">
      <t>ショルイ</t>
    </rPh>
    <rPh sb="16" eb="18">
      <t>インサツ</t>
    </rPh>
    <rPh sb="18" eb="19">
      <t>ゴ</t>
    </rPh>
    <rPh sb="20" eb="21">
      <t>ワ</t>
    </rPh>
    <rPh sb="28" eb="29">
      <t>ド</t>
    </rPh>
    <rPh sb="37" eb="39">
      <t>ソウフ</t>
    </rPh>
    <phoneticPr fontId="22"/>
  </si>
  <si>
    <t>※黄色セルは必ず入力ください</t>
    <rPh sb="1" eb="3">
      <t>キイロ</t>
    </rPh>
    <rPh sb="6" eb="7">
      <t>カナラ</t>
    </rPh>
    <rPh sb="8" eb="10">
      <t>ニュウリョク</t>
    </rPh>
    <phoneticPr fontId="22"/>
  </si>
  <si>
    <t>相続手続き業務に関する確認事項</t>
  </si>
  <si>
    <t>不動産・金融機関情報一覧</t>
    <rPh sb="0" eb="3">
      <t>フドウサン</t>
    </rPh>
    <phoneticPr fontId="22"/>
  </si>
  <si>
    <t>⒎不動産　基本情報</t>
    <rPh sb="1" eb="4">
      <t>フドウサン</t>
    </rPh>
    <rPh sb="5" eb="9">
      <t>キホンジョウホウ</t>
    </rPh>
    <phoneticPr fontId="22"/>
  </si>
  <si>
    <t>・ご依頼いただく不動産の市区町村を入力してください。</t>
    <rPh sb="2" eb="4">
      <t>イライ</t>
    </rPh>
    <rPh sb="8" eb="11">
      <t>フドウサン</t>
    </rPh>
    <rPh sb="12" eb="14">
      <t>シク</t>
    </rPh>
    <rPh sb="14" eb="16">
      <t>チョウソン</t>
    </rPh>
    <rPh sb="17" eb="19">
      <t>ニュウリョク</t>
    </rPh>
    <phoneticPr fontId="22"/>
  </si>
  <si>
    <t>市区町村名</t>
    <rPh sb="0" eb="2">
      <t>シク</t>
    </rPh>
    <rPh sb="2" eb="4">
      <t>チョウソン</t>
    </rPh>
    <rPh sb="4" eb="5">
      <t>メイ</t>
    </rPh>
    <phoneticPr fontId="22"/>
  </si>
  <si>
    <t>野村證券</t>
    <rPh sb="0" eb="2">
      <t>ノムラ</t>
    </rPh>
    <rPh sb="2" eb="4">
      <t>ショウケン</t>
    </rPh>
    <phoneticPr fontId="22"/>
  </si>
  <si>
    <t>銀行</t>
    <rPh sb="0" eb="2">
      <t>ギンコウ</t>
    </rPh>
    <phoneticPr fontId="22"/>
  </si>
  <si>
    <t>出生日～お亡くなりになられた日までの、戸籍一式（原本）をご準備いただき、ご返送願います。</t>
    <rPh sb="21" eb="23">
      <t>イッシキ</t>
    </rPh>
    <phoneticPr fontId="22"/>
  </si>
  <si>
    <t>被相続人様の除住民票（原本）</t>
    <rPh sb="0" eb="1">
      <t>ヒ</t>
    </rPh>
    <rPh sb="1" eb="3">
      <t>ソウゾク</t>
    </rPh>
    <rPh sb="3" eb="4">
      <t>ニン</t>
    </rPh>
    <phoneticPr fontId="22"/>
  </si>
  <si>
    <t>最新の戸籍(原本)または抄本（原本）、及び住民票（原本）をご準備いただき、ご返送願います。</t>
    <phoneticPr fontId="22"/>
  </si>
  <si>
    <t xml:space="preserve">弊社へご依頼いただく不動産と金融機関の一覧となります。もしもご依頼数に増減がある場合は、こちらの書面に追記願います。
</t>
    <rPh sb="10" eb="13">
      <t>フドウサン</t>
    </rPh>
    <phoneticPr fontId="29"/>
  </si>
  <si>
    <t>法定相続情報一覧図（原本）</t>
    <rPh sb="0" eb="9">
      <t>ホウテイソウゾクジョウホウイチランズ</t>
    </rPh>
    <rPh sb="10" eb="12">
      <t>ゲンポン</t>
    </rPh>
    <phoneticPr fontId="22"/>
  </si>
  <si>
    <t>相続手続き業務に関する確認事項</t>
    <phoneticPr fontId="22"/>
  </si>
  <si>
    <t>各項目をご確認いただきチェックボックスにレ点を入れてください。全ての項目にレ点を入れ終えましたら、下部の署名欄にご署名のうえ、1通をお手元に保管いただき、残り1通をご返送願います。</t>
    <rPh sb="0" eb="3">
      <t>カクコウモク</t>
    </rPh>
    <rPh sb="5" eb="7">
      <t>カクニン</t>
    </rPh>
    <rPh sb="23" eb="24">
      <t>イ</t>
    </rPh>
    <rPh sb="31" eb="32">
      <t>スベ</t>
    </rPh>
    <rPh sb="34" eb="36">
      <t>コウモク</t>
    </rPh>
    <rPh sb="38" eb="39">
      <t>テン</t>
    </rPh>
    <rPh sb="40" eb="41">
      <t>イ</t>
    </rPh>
    <rPh sb="42" eb="43">
      <t>オ</t>
    </rPh>
    <rPh sb="49" eb="51">
      <t>カブ</t>
    </rPh>
    <rPh sb="54" eb="55">
      <t>ラン</t>
    </rPh>
    <rPh sb="57" eb="59">
      <t>ショメイ</t>
    </rPh>
    <phoneticPr fontId="22"/>
  </si>
  <si>
    <t>森中絵梨佳　</t>
    <phoneticPr fontId="22"/>
  </si>
  <si>
    <t>東三条佑圭梨　</t>
    <phoneticPr fontId="22"/>
  </si>
  <si>
    <t>小森和正　</t>
    <phoneticPr fontId="22"/>
  </si>
  <si>
    <t>米田由香　</t>
    <phoneticPr fontId="22"/>
  </si>
  <si>
    <t>菊川智恵子　</t>
    <phoneticPr fontId="22"/>
  </si>
  <si>
    <t>東三条</t>
    <phoneticPr fontId="22"/>
  </si>
  <si>
    <t>小森</t>
    <phoneticPr fontId="22"/>
  </si>
  <si>
    <t>米田</t>
    <phoneticPr fontId="22"/>
  </si>
  <si>
    <t>菊川</t>
    <phoneticPr fontId="22"/>
  </si>
  <si>
    <t>税チェ関与</t>
    <rPh sb="0" eb="1">
      <t>ゼイ</t>
    </rPh>
    <rPh sb="3" eb="5">
      <t>カンヨ</t>
    </rPh>
    <phoneticPr fontId="22"/>
  </si>
  <si>
    <t>委任状の日付</t>
    <rPh sb="0" eb="3">
      <t>イニンジョウ</t>
    </rPh>
    <rPh sb="4" eb="6">
      <t>ヒヅケ</t>
    </rPh>
    <phoneticPr fontId="22"/>
  </si>
  <si>
    <t>担当②</t>
    <rPh sb="0" eb="2">
      <t>タントウ</t>
    </rPh>
    <phoneticPr fontId="22"/>
  </si>
  <si>
    <t>本人</t>
    <rPh sb="0" eb="2">
      <t>ホンニン</t>
    </rPh>
    <phoneticPr fontId="22"/>
  </si>
  <si>
    <t>栗原大輔　</t>
    <phoneticPr fontId="22"/>
  </si>
  <si>
    <t>石井祐貴　</t>
    <phoneticPr fontId="22"/>
  </si>
  <si>
    <t>柴田彩香　</t>
    <phoneticPr fontId="22"/>
  </si>
  <si>
    <t>宇野綾華　</t>
    <phoneticPr fontId="22"/>
  </si>
  <si>
    <t>南香南江　</t>
    <phoneticPr fontId="22"/>
  </si>
  <si>
    <t>土田修平　</t>
    <phoneticPr fontId="22"/>
  </si>
  <si>
    <t>星野里紗　</t>
    <rPh sb="2" eb="4">
      <t>リサ</t>
    </rPh>
    <phoneticPr fontId="22"/>
  </si>
  <si>
    <t>亀岡菜摘　</t>
    <phoneticPr fontId="22"/>
  </si>
  <si>
    <t>宇野</t>
    <phoneticPr fontId="22"/>
  </si>
  <si>
    <t>050-6883-4521</t>
    <phoneticPr fontId="22"/>
  </si>
  <si>
    <t>南</t>
    <phoneticPr fontId="22"/>
  </si>
  <si>
    <t>土田</t>
    <phoneticPr fontId="22"/>
  </si>
  <si>
    <t>星野</t>
    <phoneticPr fontId="22"/>
  </si>
  <si>
    <t>050-6861-2158</t>
    <phoneticPr fontId="22"/>
  </si>
  <si>
    <t>亀岡</t>
    <phoneticPr fontId="22"/>
  </si>
  <si>
    <t>行政書士法人チェスター
代表社員　清水　茜作
（法人登録番号　東京　第1303101号）</t>
    <phoneticPr fontId="1"/>
  </si>
  <si>
    <t>ぎょうせいしょしほうじんちぇすたーだいひょうしゃいんこしみずせんさく</t>
    <phoneticPr fontId="1"/>
  </si>
  <si>
    <t>ぎょうせいしょしほうじんちぇすたーだいひょうしゃいんしみずせんさく</t>
    <phoneticPr fontId="1"/>
  </si>
  <si>
    <t>行政書士法人チェスター
代表社員　清水茜作
（法人登録番号　東京　第1303101号）</t>
    <phoneticPr fontId="1"/>
  </si>
  <si>
    <t>「遺言者の亡き両親及び亡き兄弟姉妹」の出生～死亡までの戸籍謄本</t>
    <rPh sb="1" eb="3">
      <t>イゴン</t>
    </rPh>
    <rPh sb="3" eb="4">
      <t>シャ</t>
    </rPh>
    <phoneticPr fontId="1"/>
  </si>
  <si>
    <t>「」の現在戸籍謄本</t>
    <phoneticPr fontId="1"/>
  </si>
  <si>
    <t>遺言者</t>
    <rPh sb="0" eb="2">
      <t>イゴン</t>
    </rPh>
    <rPh sb="2" eb="3">
      <t>シャ</t>
    </rPh>
    <phoneticPr fontId="1"/>
  </si>
  <si>
    <t>本人</t>
    <rPh sb="0" eb="2">
      <t>ホンニン</t>
    </rPh>
    <phoneticPr fontId="1"/>
  </si>
  <si>
    <t>遺言者との関係</t>
    <rPh sb="0" eb="2">
      <t>イゴン</t>
    </rPh>
    <rPh sb="2" eb="3">
      <t>シャ</t>
    </rPh>
    <rPh sb="5" eb="7">
      <t>カンケイ</t>
    </rPh>
    <phoneticPr fontId="1"/>
  </si>
  <si>
    <t>代理人</t>
    <rPh sb="0" eb="3">
      <t>ダイリニン</t>
    </rPh>
    <phoneticPr fontId="1"/>
  </si>
  <si>
    <t>遺言者との続柄</t>
    <rPh sb="0" eb="2">
      <t>イゴン</t>
    </rPh>
    <rPh sb="2" eb="3">
      <t>シャ</t>
    </rPh>
    <rPh sb="5" eb="7">
      <t>ツヅキガラ</t>
    </rPh>
    <phoneticPr fontId="1"/>
  </si>
  <si>
    <t>推定相続人の調査のため</t>
    <rPh sb="0" eb="2">
      <t>スイテイ</t>
    </rPh>
    <phoneticPr fontId="1"/>
  </si>
  <si>
    <t>遺言公正証書作成のため公証役場へ提出</t>
    <rPh sb="0" eb="2">
      <t>イゴン</t>
    </rPh>
    <rPh sb="2" eb="4">
      <t>コウセイ</t>
    </rPh>
    <rPh sb="4" eb="6">
      <t>ショウショ</t>
    </rPh>
    <rPh sb="6" eb="8">
      <t>サクセイ</t>
    </rPh>
    <rPh sb="11" eb="13">
      <t>コウショウ</t>
    </rPh>
    <rPh sb="13" eb="15">
      <t>ヤクバ</t>
    </rPh>
    <rPh sb="16" eb="18">
      <t>テイシュツ</t>
    </rPh>
    <phoneticPr fontId="1"/>
  </si>
  <si>
    <t>遺言公正証書作成のため公証役場へ提出</t>
    <phoneticPr fontId="1"/>
  </si>
  <si>
    <t>財産の調査のため</t>
    <rPh sb="0" eb="2">
      <t>ザイサン</t>
    </rPh>
    <rPh sb="3" eb="5">
      <t>チョウサ</t>
    </rPh>
    <phoneticPr fontId="1"/>
  </si>
  <si>
    <t>遺言者</t>
    <rPh sb="0" eb="2">
      <t>イゴン</t>
    </rPh>
    <rPh sb="2" eb="3">
      <t>シャ</t>
    </rPh>
    <phoneticPr fontId="13"/>
  </si>
  <si>
    <t>遺言者（委任者）</t>
    <rPh sb="0" eb="2">
      <t>イゴン</t>
    </rPh>
    <rPh sb="2" eb="3">
      <t>シャ</t>
    </rPh>
    <rPh sb="4" eb="7">
      <t>イニンシャ</t>
    </rPh>
    <phoneticPr fontId="22"/>
  </si>
  <si>
    <t>相続人①</t>
    <rPh sb="0" eb="3">
      <t>ソウゾクニン</t>
    </rPh>
    <phoneticPr fontId="22"/>
  </si>
  <si>
    <t>⒋遺言者・相続人　基本情報</t>
    <rPh sb="1" eb="3">
      <t>イゴン</t>
    </rPh>
    <rPh sb="3" eb="4">
      <t>シャ</t>
    </rPh>
    <rPh sb="5" eb="8">
      <t>ソウゾクニン</t>
    </rPh>
    <rPh sb="9" eb="11">
      <t>キホン</t>
    </rPh>
    <rPh sb="11" eb="13">
      <t>ジョウホウ</t>
    </rPh>
    <phoneticPr fontId="22"/>
  </si>
  <si>
    <t>遺言作成サポート</t>
    <rPh sb="0" eb="2">
      <t>イゴン</t>
    </rPh>
    <rPh sb="2" eb="4">
      <t>サクセイ</t>
    </rPh>
    <phoneticPr fontId="1"/>
  </si>
  <si>
    <t>　確認済</t>
    <rPh sb="1" eb="3">
      <t>カクニン</t>
    </rPh>
    <rPh sb="3" eb="4">
      <t>ズ</t>
    </rPh>
    <phoneticPr fontId="22"/>
  </si>
  <si>
    <t>遺言に記載する不動産について名寄帳の取得が必要か確認した。</t>
    <rPh sb="0" eb="2">
      <t>イゴン</t>
    </rPh>
    <rPh sb="3" eb="5">
      <t>キサイ</t>
    </rPh>
    <rPh sb="7" eb="10">
      <t>フドウサン</t>
    </rPh>
    <rPh sb="14" eb="16">
      <t>ナヨロ</t>
    </rPh>
    <rPh sb="16" eb="17">
      <t>チョウ</t>
    </rPh>
    <rPh sb="18" eb="20">
      <t>シュトク</t>
    </rPh>
    <rPh sb="21" eb="23">
      <t>ヒツヨウ</t>
    </rPh>
    <rPh sb="24" eb="26">
      <t>カクニン</t>
    </rPh>
    <phoneticPr fontId="1"/>
  </si>
  <si>
    <t>予備的遺言等含め必要な戸籍類を確認した。</t>
    <rPh sb="0" eb="3">
      <t>ヨビテキ</t>
    </rPh>
    <rPh sb="3" eb="5">
      <t>イゴン</t>
    </rPh>
    <rPh sb="5" eb="6">
      <t>トウ</t>
    </rPh>
    <rPh sb="6" eb="7">
      <t>フク</t>
    </rPh>
    <rPh sb="8" eb="10">
      <t>ヒツヨウ</t>
    </rPh>
    <rPh sb="11" eb="13">
      <t>コセキ</t>
    </rPh>
    <rPh sb="13" eb="14">
      <t>ルイ</t>
    </rPh>
    <rPh sb="15" eb="17">
      <t>カクニン</t>
    </rPh>
    <phoneticPr fontId="1"/>
  </si>
  <si>
    <t>引継ぎ前のチェックリスト</t>
    <rPh sb="0" eb="2">
      <t>ヒキツ</t>
    </rPh>
    <rPh sb="3" eb="4">
      <t>マエ</t>
    </rPh>
    <phoneticPr fontId="1"/>
  </si>
  <si>
    <t>推定相続人は妻、子供（３名）の計4名</t>
    <rPh sb="0" eb="2">
      <t>スイテイ</t>
    </rPh>
    <rPh sb="6" eb="7">
      <t>ツマ</t>
    </rPh>
    <phoneticPr fontId="29"/>
  </si>
  <si>
    <t>備考</t>
    <rPh sb="0" eb="2">
      <t>ビコウ</t>
    </rPh>
    <phoneticPr fontId="29"/>
  </si>
  <si>
    <t>□申請中
□完了</t>
    <phoneticPr fontId="29"/>
  </si>
  <si>
    <t>遺言者の現在戸籍及び推定相続人の現在戸籍の取得をお願いします。</t>
    <rPh sb="0" eb="2">
      <t>イゴン</t>
    </rPh>
    <rPh sb="2" eb="3">
      <t>シャ</t>
    </rPh>
    <rPh sb="4" eb="6">
      <t>ゲンザイ</t>
    </rPh>
    <rPh sb="6" eb="8">
      <t>コセキ</t>
    </rPh>
    <rPh sb="8" eb="9">
      <t>オヨ</t>
    </rPh>
    <rPh sb="10" eb="12">
      <t>スイテイ</t>
    </rPh>
    <rPh sb="12" eb="15">
      <t>ソウゾクニン</t>
    </rPh>
    <rPh sb="16" eb="18">
      <t>ゲンザイ</t>
    </rPh>
    <rPh sb="18" eb="20">
      <t>コセキ</t>
    </rPh>
    <rPh sb="21" eb="23">
      <t>シュトク</t>
    </rPh>
    <rPh sb="25" eb="26">
      <t>ネガ</t>
    </rPh>
    <phoneticPr fontId="22"/>
  </si>
  <si>
    <t>□申請中
□完了</t>
    <rPh sb="1" eb="4">
      <t>シンセイチュウ</t>
    </rPh>
    <rPh sb="6" eb="8">
      <t>カンリョウ</t>
    </rPh>
    <phoneticPr fontId="29"/>
  </si>
  <si>
    <t>取得書類</t>
    <rPh sb="0" eb="2">
      <t>シュトク</t>
    </rPh>
    <rPh sb="2" eb="4">
      <t>ショルイ</t>
    </rPh>
    <phoneticPr fontId="22"/>
  </si>
  <si>
    <t>委任者</t>
    <rPh sb="0" eb="3">
      <t>イニンシャ</t>
    </rPh>
    <phoneticPr fontId="22"/>
  </si>
  <si>
    <t>筆頭者</t>
    <rPh sb="0" eb="3">
      <t>ヒットウシャ</t>
    </rPh>
    <phoneticPr fontId="17"/>
  </si>
  <si>
    <t>本籍</t>
    <rPh sb="0" eb="2">
      <t>ホンセキ</t>
    </rPh>
    <phoneticPr fontId="29"/>
  </si>
  <si>
    <t>生年月日</t>
    <rPh sb="0" eb="2">
      <t>セイネン</t>
    </rPh>
    <rPh sb="2" eb="4">
      <t>ガッピ</t>
    </rPh>
    <phoneticPr fontId="29"/>
  </si>
  <si>
    <t>最新の住所</t>
    <rPh sb="0" eb="2">
      <t>サイシン</t>
    </rPh>
    <rPh sb="3" eb="5">
      <t>ジュウショ</t>
    </rPh>
    <phoneticPr fontId="17"/>
  </si>
  <si>
    <t>氏名</t>
    <rPh sb="0" eb="2">
      <t>シメイ</t>
    </rPh>
    <phoneticPr fontId="17"/>
  </si>
  <si>
    <t>ふりがな</t>
    <phoneticPr fontId="17"/>
  </si>
  <si>
    <t>R7年度名寄帳の取得もお願いします。（千代田区、横浜市西区、鎌倉市）</t>
    <phoneticPr fontId="1"/>
  </si>
  <si>
    <t>提携先</t>
    <rPh sb="0" eb="2">
      <t>テイケイ</t>
    </rPh>
    <rPh sb="2" eb="3">
      <t>サキ</t>
    </rPh>
    <phoneticPr fontId="22"/>
  </si>
  <si>
    <t>金額</t>
    <rPh sb="0" eb="2">
      <t>キンガク</t>
    </rPh>
    <phoneticPr fontId="22"/>
  </si>
  <si>
    <t>清水茜作</t>
    <rPh sb="0" eb="2">
      <t>シミズ</t>
    </rPh>
    <rPh sb="2" eb="4">
      <t>アカネサク</t>
    </rPh>
    <phoneticPr fontId="22"/>
  </si>
  <si>
    <t>提携先（なし）</t>
    <rPh sb="0" eb="2">
      <t>テイケイ</t>
    </rPh>
    <rPh sb="2" eb="3">
      <t>サキ</t>
    </rPh>
    <phoneticPr fontId="22"/>
  </si>
  <si>
    <t>提携先（大和以外のすべて）</t>
    <rPh sb="0" eb="2">
      <t>テイケイ</t>
    </rPh>
    <rPh sb="2" eb="3">
      <t>サキ</t>
    </rPh>
    <phoneticPr fontId="22"/>
  </si>
  <si>
    <t>神奈川県横浜市神奈川区鶴屋町2-12-5</t>
    <rPh sb="13" eb="14">
      <t>マチ</t>
    </rPh>
    <phoneticPr fontId="22"/>
  </si>
  <si>
    <t>トレゾ横浜8階</t>
  </si>
  <si>
    <t>提携先（大和・セット割あり）</t>
    <rPh sb="0" eb="2">
      <t>テイケイ</t>
    </rPh>
    <rPh sb="2" eb="3">
      <t>サキ</t>
    </rPh>
    <phoneticPr fontId="22"/>
  </si>
  <si>
    <t>050-6875-3114</t>
    <phoneticPr fontId="22"/>
  </si>
  <si>
    <t>提携先（大和・セット割なし）</t>
    <rPh sb="0" eb="2">
      <t>テイケイ</t>
    </rPh>
    <rPh sb="2" eb="3">
      <t>サキ</t>
    </rPh>
    <rPh sb="4" eb="6">
      <t>ヤマト</t>
    </rPh>
    <rPh sb="10" eb="11">
      <t>ワリ</t>
    </rPh>
    <phoneticPr fontId="22"/>
  </si>
  <si>
    <t>050-6875-3115</t>
    <phoneticPr fontId="22"/>
  </si>
  <si>
    <t>松本拓弥　</t>
    <phoneticPr fontId="22"/>
  </si>
  <si>
    <t>森町翼　</t>
    <phoneticPr fontId="22"/>
  </si>
  <si>
    <t>鳥山剛史　</t>
    <phoneticPr fontId="22"/>
  </si>
  <si>
    <t>050-6875-3109</t>
    <phoneticPr fontId="22"/>
  </si>
  <si>
    <t>中島絵里　</t>
    <phoneticPr fontId="22"/>
  </si>
  <si>
    <t>小島文子　</t>
    <phoneticPr fontId="22"/>
  </si>
  <si>
    <t>050-6875-3117</t>
    <phoneticPr fontId="22"/>
  </si>
  <si>
    <t>福岡なつみ　</t>
    <phoneticPr fontId="22"/>
  </si>
  <si>
    <t>050-6875-3120</t>
    <phoneticPr fontId="22"/>
  </si>
  <si>
    <t>妹</t>
    <rPh sb="0" eb="1">
      <t>イモウト</t>
    </rPh>
    <phoneticPr fontId="33"/>
  </si>
  <si>
    <t>白金大翔</t>
    <phoneticPr fontId="22"/>
  </si>
  <si>
    <t>050-6875-3110</t>
    <phoneticPr fontId="22"/>
  </si>
  <si>
    <t>　三宅真莉奈</t>
    <phoneticPr fontId="22"/>
  </si>
  <si>
    <t>　梅田奈央</t>
    <phoneticPr fontId="22"/>
  </si>
  <si>
    <t>　芦田昭子</t>
    <phoneticPr fontId="22"/>
  </si>
  <si>
    <t>050-6875-3121</t>
    <phoneticPr fontId="22"/>
  </si>
  <si>
    <t>　安西伽奈美　</t>
    <phoneticPr fontId="22"/>
  </si>
  <si>
    <t>050-6860-4176</t>
    <phoneticPr fontId="22"/>
  </si>
  <si>
    <t>宮持玲那　</t>
    <phoneticPr fontId="22"/>
  </si>
  <si>
    <t xml:space="preserve"> 050-6883-0482</t>
    <phoneticPr fontId="22"/>
  </si>
  <si>
    <t>進藤莉花　</t>
    <phoneticPr fontId="22"/>
  </si>
  <si>
    <t>司馬里美　</t>
    <phoneticPr fontId="22"/>
  </si>
  <si>
    <t>050-6875-3064</t>
    <phoneticPr fontId="22"/>
  </si>
  <si>
    <t>辻充代　</t>
    <phoneticPr fontId="22"/>
  </si>
  <si>
    <t>050-6875-3067</t>
    <phoneticPr fontId="22"/>
  </si>
  <si>
    <t>植田愛望　</t>
    <phoneticPr fontId="22"/>
  </si>
  <si>
    <t>050-6875-3123</t>
    <phoneticPr fontId="22"/>
  </si>
  <si>
    <t>白金</t>
    <rPh sb="0" eb="2">
      <t>シロガネ</t>
    </rPh>
    <phoneticPr fontId="22"/>
  </si>
  <si>
    <t>050-6861-0106</t>
    <phoneticPr fontId="22"/>
  </si>
  <si>
    <t>三宅</t>
    <phoneticPr fontId="22"/>
  </si>
  <si>
    <t>梅田</t>
    <phoneticPr fontId="22"/>
  </si>
  <si>
    <t>050-6875-3090</t>
    <phoneticPr fontId="22"/>
  </si>
  <si>
    <t>森町</t>
    <phoneticPr fontId="22"/>
  </si>
  <si>
    <t>050-6864-7034</t>
    <phoneticPr fontId="22"/>
  </si>
  <si>
    <t>鳥山</t>
    <phoneticPr fontId="22"/>
  </si>
  <si>
    <t>050-6864-7043</t>
    <phoneticPr fontId="22"/>
  </si>
  <si>
    <t>芦田</t>
    <phoneticPr fontId="22"/>
  </si>
  <si>
    <t>050-6864-7047</t>
    <phoneticPr fontId="22"/>
  </si>
  <si>
    <t>安西</t>
    <phoneticPr fontId="22"/>
  </si>
  <si>
    <t>050-6875-3094</t>
    <phoneticPr fontId="22"/>
  </si>
  <si>
    <t>宮持</t>
    <phoneticPr fontId="22"/>
  </si>
  <si>
    <t>050-6864-7048</t>
    <phoneticPr fontId="22"/>
  </si>
  <si>
    <t>中島</t>
    <phoneticPr fontId="22"/>
  </si>
  <si>
    <t>050-6861-3328</t>
    <phoneticPr fontId="22"/>
  </si>
  <si>
    <t>進藤</t>
    <phoneticPr fontId="22"/>
  </si>
  <si>
    <t>050-6875-3134</t>
    <phoneticPr fontId="22"/>
  </si>
  <si>
    <t>司馬</t>
    <phoneticPr fontId="22"/>
  </si>
  <si>
    <t>050-6875-3138</t>
    <phoneticPr fontId="22"/>
  </si>
  <si>
    <t>小島</t>
    <phoneticPr fontId="22"/>
  </si>
  <si>
    <t>050-6861-3349</t>
    <phoneticPr fontId="22"/>
  </si>
  <si>
    <t>福岡</t>
    <phoneticPr fontId="22"/>
  </si>
  <si>
    <t>050-6875-3087</t>
    <phoneticPr fontId="22"/>
  </si>
  <si>
    <t>辻</t>
    <phoneticPr fontId="22"/>
  </si>
  <si>
    <t>050-6875-3195</t>
    <phoneticPr fontId="22"/>
  </si>
  <si>
    <t>植田</t>
    <phoneticPr fontId="22"/>
  </si>
  <si>
    <t>050-6875-3203</t>
    <phoneticPr fontId="22"/>
  </si>
  <si>
    <t>営業時間：午前9時～午後5時（平日のみ）※11:45～12:45は昼休みのため業務を休止しています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</si>
</sst>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ggge&quot;年&quot;m&quot;月&quot;d&quot;日&quot;;@" x16r2:formatCode16="[$-ja-JP-x-gannen]ggge&quot;年&quot;m&quot;月&quot;d&quot;日&quot;;@"/>
    <numFmt numFmtId="177" formatCode="&quot;「&quot;@&quot;」&quot;&quot;の&quot;&quot;戸&quot;&quot;籍&quot;&quot;謄&quot;&quot;本&quot;\(&quot;転&quot;&quot;籍&quot;&quot;等&quot;&quot;で&quot;&quot;現&quot;&quot;在&quot;&quot;の&quot;&quot;も&quot;&quot;の&quot;&quot;が&quot;&quot;発&quot;&quot;行&quot;&quot;で&quot;&quot;き&quot;&quot;な&quot;&quot;い&quot;&quot;場&quot;&quot;合&quot;&quot;は&quot;&quot;除&quot;&quot;籍&quot;&quot;謄&quot;&quot;本&quot;\)"/>
    <numFmt numFmtId="178" formatCode="&quot;「&quot;@&quot;」&quot;&quot;の&quot;&quot;戸&quot;&quot;籍&quot;&quot;附&quot;&quot;票&quot;\(&quot;転&quot;&quot;籍&quot;&quot;等&quot;&quot;で&quot;&quot;現&quot;&quot;在&quot;&quot;の&quot;&quot;も&quot;&quot;の&quot;&quot;が&quot;&quot;発&quot;&quot;行&quot;&quot;で&quot;&quot;き&quot;&quot;な&quot;&quot;い&quot;&quot;場&quot;&quot;合&quot;&quot;は&quot;&quot;不&quot;&quot;要&quot;\)"/>
    <numFmt numFmtId="179" formatCode="&quot;担&quot;&quot;当&quot;&quot;者&quot;\:@"/>
    <numFmt numFmtId="180" formatCode="@\ &quot;に不動産をお持ちです。&quot;"/>
  </numFmts>
  <fonts count="54" x14ac:knownFonts="1">
    <font>
      <sz val="12"/>
      <color theme="1"/>
      <name val="ＭＳ Ｐゴシック"/>
      <family val="2"/>
      <charset val="128"/>
    </font>
    <font>
      <sz val="6"/>
      <name val="ＭＳ Ｐゴシック"/>
      <family val="2"/>
      <charset val="128"/>
    </font>
    <font>
      <sz val="20"/>
      <color theme="1"/>
      <name val="HGS教科書体"/>
      <family val="1"/>
      <charset val="128"/>
    </font>
    <font>
      <b/>
      <sz val="12"/>
      <color theme="1"/>
      <name val="HGS教科書体"/>
      <family val="1"/>
      <charset val="128"/>
    </font>
    <font>
      <b/>
      <sz val="14"/>
      <color theme="1"/>
      <name val="HGS教科書体"/>
      <family val="1"/>
      <charset val="128"/>
    </font>
    <font>
      <sz val="12"/>
      <color theme="1"/>
      <name val="HGS教科書体"/>
      <family val="1"/>
      <charset val="128"/>
    </font>
    <font>
      <sz val="9"/>
      <color theme="1"/>
      <name val="HGS教科書体"/>
      <family val="1"/>
      <charset val="128"/>
    </font>
    <font>
      <sz val="12"/>
      <color theme="1"/>
      <name val="HGP教科書体"/>
      <family val="1"/>
      <charset val="128"/>
    </font>
    <font>
      <b/>
      <sz val="12"/>
      <color theme="1"/>
      <name val="HGP教科書体"/>
      <family val="1"/>
      <charset val="128"/>
    </font>
    <font>
      <sz val="11"/>
      <color theme="1"/>
      <name val="游ゴシック"/>
      <family val="3"/>
      <charset val="128"/>
      <scheme val="minor"/>
    </font>
    <font>
      <sz val="11"/>
      <color theme="1"/>
      <name val="ＭＳ Ｐ明朝"/>
      <family val="1"/>
      <charset val="128"/>
    </font>
    <font>
      <sz val="9"/>
      <color theme="1"/>
      <name val="HG丸ｺﾞｼｯｸM-PRO"/>
      <family val="3"/>
      <charset val="128"/>
    </font>
    <font>
      <sz val="12"/>
      <color theme="0" tint="-0.249977111117893"/>
      <name val="HG丸ｺﾞｼｯｸM-PRO"/>
      <family val="3"/>
      <charset val="128"/>
    </font>
    <font>
      <sz val="6"/>
      <name val="ＭＳ Ｐゴシック"/>
      <family val="3"/>
      <charset val="128"/>
    </font>
    <font>
      <sz val="11"/>
      <color theme="1"/>
      <name val="ＭＳ Ｐゴシック"/>
      <family val="3"/>
      <charset val="128"/>
    </font>
    <font>
      <sz val="16"/>
      <color theme="1"/>
      <name val="ＭＳ Ｐゴシック"/>
      <family val="3"/>
      <charset val="128"/>
    </font>
    <font>
      <sz val="11"/>
      <color theme="1"/>
      <name val="HG丸ｺﾞｼｯｸM-PRO"/>
      <family val="3"/>
      <charset val="128"/>
    </font>
    <font>
      <sz val="6"/>
      <name val="メイリオ"/>
      <family val="3"/>
      <charset val="128"/>
    </font>
    <font>
      <sz val="8"/>
      <color theme="1"/>
      <name val="HG丸ｺﾞｼｯｸM-PRO"/>
      <family val="3"/>
      <charset val="128"/>
    </font>
    <font>
      <sz val="12"/>
      <color theme="1"/>
      <name val="HG丸ｺﾞｼｯｸM-PRO"/>
      <family val="3"/>
      <charset val="128"/>
    </font>
    <font>
      <sz val="11"/>
      <color theme="1"/>
      <name val="游ゴシック"/>
      <family val="2"/>
      <charset val="128"/>
      <scheme val="minor"/>
    </font>
    <font>
      <b/>
      <sz val="18"/>
      <color theme="1"/>
      <name val="メイリオ"/>
      <family val="3"/>
      <charset val="128"/>
    </font>
    <font>
      <sz val="6"/>
      <name val="游ゴシック"/>
      <family val="2"/>
      <charset val="128"/>
      <scheme val="minor"/>
    </font>
    <font>
      <sz val="11"/>
      <color theme="1"/>
      <name val="メイリオ"/>
      <family val="3"/>
      <charset val="128"/>
    </font>
    <font>
      <sz val="11"/>
      <color theme="1"/>
      <name val="Meiryo UI"/>
      <family val="3"/>
      <charset val="128"/>
    </font>
    <font>
      <b/>
      <sz val="11"/>
      <color theme="1"/>
      <name val="メイリオ"/>
      <family val="3"/>
      <charset val="128"/>
    </font>
    <font>
      <b/>
      <sz val="11"/>
      <color theme="0"/>
      <name val="メイリオ"/>
      <family val="3"/>
      <charset val="128"/>
    </font>
    <font>
      <b/>
      <sz val="11"/>
      <color theme="3" tint="0.749992370372631"/>
      <name val="メイリオ"/>
      <family val="3"/>
      <charset val="128"/>
    </font>
    <font>
      <sz val="11"/>
      <color rgb="FFFF0000"/>
      <name val="游ゴシック"/>
      <family val="2"/>
      <charset val="128"/>
      <scheme val="minor"/>
    </font>
    <font>
      <sz val="6"/>
      <name val="游ゴシック"/>
      <family val="3"/>
      <charset val="128"/>
      <scheme val="minor"/>
    </font>
    <font>
      <b/>
      <sz val="6"/>
      <color theme="1"/>
      <name val="メイリオ"/>
      <family val="3"/>
      <charset val="128"/>
    </font>
    <font>
      <b/>
      <sz val="8"/>
      <color theme="1"/>
      <name val="メイリオ"/>
      <family val="3"/>
      <charset val="128"/>
    </font>
    <font>
      <sz val="11"/>
      <name val="游ゴシック"/>
      <family val="2"/>
      <charset val="128"/>
      <scheme val="minor"/>
    </font>
    <font>
      <b/>
      <sz val="11"/>
      <color theme="1"/>
      <name val="游ゴシック"/>
      <family val="3"/>
      <charset val="128"/>
      <scheme val="minor"/>
    </font>
    <font>
      <b/>
      <sz val="6"/>
      <color theme="0"/>
      <name val="メイリオ"/>
      <family val="3"/>
      <charset val="128"/>
    </font>
    <font>
      <sz val="6"/>
      <color theme="1"/>
      <name val="Meiryo UI"/>
      <family val="3"/>
      <charset val="128"/>
    </font>
    <font>
      <sz val="6"/>
      <color theme="1"/>
      <name val="メイリオ"/>
      <family val="3"/>
      <charset val="128"/>
    </font>
    <font>
      <sz val="6"/>
      <color theme="1"/>
      <name val="游ゴシック"/>
      <family val="2"/>
      <charset val="128"/>
      <scheme val="minor"/>
    </font>
    <font>
      <u/>
      <sz val="12"/>
      <color indexed="81"/>
      <name val="Meiryo UI"/>
      <family val="3"/>
      <charset val="128"/>
    </font>
    <font>
      <sz val="12"/>
      <color indexed="81"/>
      <name val="Meiryo UI"/>
      <family val="3"/>
      <charset val="128"/>
    </font>
    <font>
      <sz val="6"/>
      <color theme="0"/>
      <name val="Meiryo UI"/>
      <family val="3"/>
      <charset val="128"/>
    </font>
    <font>
      <sz val="9"/>
      <color theme="1"/>
      <name val="メイリオ"/>
      <family val="3"/>
      <charset val="128"/>
    </font>
    <font>
      <sz val="6"/>
      <color theme="1"/>
      <name val="游ゴシック"/>
      <family val="3"/>
      <charset val="128"/>
      <scheme val="minor"/>
    </font>
    <font>
      <sz val="6"/>
      <color rgb="FF333333"/>
      <name val="游ゴシック"/>
      <family val="3"/>
      <charset val="128"/>
      <scheme val="minor"/>
    </font>
    <font>
      <sz val="11"/>
      <color theme="1"/>
      <name val="游ゴシック"/>
      <family val="2"/>
      <scheme val="minor"/>
    </font>
    <font>
      <sz val="12"/>
      <color theme="1"/>
      <name val="游ゴシック"/>
      <family val="3"/>
      <charset val="128"/>
      <scheme val="minor"/>
    </font>
    <font>
      <sz val="12"/>
      <color theme="1"/>
      <name val="游ゴシック"/>
      <family val="2"/>
      <charset val="128"/>
      <scheme val="minor"/>
    </font>
    <font>
      <sz val="12"/>
      <color theme="1"/>
      <name val="游ゴシック"/>
      <family val="3"/>
      <charset val="128"/>
    </font>
    <font>
      <b/>
      <sz val="18"/>
      <color theme="1"/>
      <name val="游ゴシック"/>
      <family val="3"/>
      <charset val="128"/>
    </font>
    <font>
      <sz val="11"/>
      <color theme="1"/>
      <name val="游ゴシック"/>
      <family val="3"/>
      <charset val="128"/>
    </font>
    <font>
      <b/>
      <sz val="14"/>
      <color theme="1"/>
      <name val="游ゴシック"/>
      <family val="3"/>
      <charset val="128"/>
    </font>
    <font>
      <b/>
      <sz val="20"/>
      <color theme="1"/>
      <name val="游ゴシック"/>
      <family val="3"/>
      <charset val="128"/>
    </font>
    <font>
      <b/>
      <sz val="18"/>
      <color rgb="FF000000"/>
      <name val="ＭＳ Ｐゴシック"/>
      <family val="3"/>
      <charset val="128"/>
    </font>
    <font>
      <sz val="12"/>
      <color rgb="FF000000"/>
      <name val="ＭＳ Ｐゴシック"/>
      <family val="3"/>
      <charset val="128"/>
    </font>
  </fonts>
  <fills count="11">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4"/>
        <bgColor indexed="64"/>
      </patternFill>
    </fill>
    <fill>
      <patternFill patternType="solid">
        <fgColor theme="2" tint="-9.9978637043366805E-2"/>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theme="2" tint="-0.249977111117893"/>
        <bgColor indexed="64"/>
      </patternFill>
    </fill>
  </fills>
  <borders count="79">
    <border>
      <left/>
      <right/>
      <top/>
      <bottom/>
      <diagonal/>
    </border>
    <border>
      <left/>
      <right/>
      <top style="thin">
        <color indexed="64"/>
      </top>
      <bottom/>
      <diagonal/>
    </border>
    <border>
      <left style="thin">
        <color auto="1"/>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indexed="64"/>
      </left>
      <right/>
      <top style="thin">
        <color auto="1"/>
      </top>
      <bottom style="thin">
        <color auto="1"/>
      </bottom>
      <diagonal/>
    </border>
    <border>
      <left style="thin">
        <color indexed="64"/>
      </left>
      <right/>
      <top/>
      <bottom/>
      <diagonal/>
    </border>
    <border>
      <left/>
      <right style="thin">
        <color indexed="64"/>
      </right>
      <top/>
      <bottom/>
      <diagonal/>
    </border>
    <border>
      <left/>
      <right style="thin">
        <color auto="1"/>
      </right>
      <top style="thin">
        <color indexed="64"/>
      </top>
      <bottom style="thin">
        <color auto="1"/>
      </bottom>
      <diagonal/>
    </border>
    <border>
      <left style="thin">
        <color auto="1"/>
      </left>
      <right/>
      <top style="dotted">
        <color auto="1"/>
      </top>
      <bottom/>
      <diagonal/>
    </border>
    <border>
      <left/>
      <right/>
      <top style="dotted">
        <color auto="1"/>
      </top>
      <bottom/>
      <diagonal/>
    </border>
    <border>
      <left/>
      <right style="thin">
        <color auto="1"/>
      </right>
      <top style="dotted">
        <color auto="1"/>
      </top>
      <bottom/>
      <diagonal/>
    </border>
    <border>
      <left style="medium">
        <color indexed="64"/>
      </left>
      <right/>
      <top style="medium">
        <color indexed="64"/>
      </top>
      <bottom/>
      <diagonal/>
    </border>
    <border>
      <left/>
      <right/>
      <top style="medium">
        <color indexed="64"/>
      </top>
      <bottom/>
      <diagonal/>
    </border>
    <border>
      <left/>
      <right style="thin">
        <color auto="1"/>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style="medium">
        <color indexed="64"/>
      </left>
      <right/>
      <top/>
      <bottom/>
      <diagonal/>
    </border>
    <border>
      <left/>
      <right style="medium">
        <color indexed="64"/>
      </right>
      <top/>
      <bottom/>
      <diagonal/>
    </border>
    <border>
      <left style="medium">
        <color indexed="64"/>
      </left>
      <right/>
      <top style="thin">
        <color auto="1"/>
      </top>
      <bottom/>
      <diagonal/>
    </border>
    <border>
      <left/>
      <right style="medium">
        <color indexed="64"/>
      </right>
      <top style="thin">
        <color indexed="64"/>
      </top>
      <bottom/>
      <diagonal/>
    </border>
    <border>
      <left/>
      <right style="medium">
        <color indexed="64"/>
      </right>
      <top style="thin">
        <color auto="1"/>
      </top>
      <bottom style="thin">
        <color auto="1"/>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style="thin">
        <color auto="1"/>
      </left>
      <right/>
      <top/>
      <bottom style="medium">
        <color indexed="64"/>
      </bottom>
      <diagonal/>
    </border>
    <border>
      <left/>
      <right/>
      <top/>
      <bottom style="medium">
        <color indexed="64"/>
      </bottom>
      <diagonal/>
    </border>
    <border>
      <left/>
      <right style="thin">
        <color auto="1"/>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style="thin">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top style="hair">
        <color auto="1"/>
      </top>
      <bottom style="medium">
        <color indexed="64"/>
      </bottom>
      <diagonal/>
    </border>
    <border>
      <left/>
      <right/>
      <top style="hair">
        <color auto="1"/>
      </top>
      <bottom style="medium">
        <color indexed="64"/>
      </bottom>
      <diagonal/>
    </border>
    <border>
      <left/>
      <right style="thin">
        <color indexed="64"/>
      </right>
      <top style="hair">
        <color auto="1"/>
      </top>
      <bottom style="medium">
        <color indexed="64"/>
      </bottom>
      <diagonal/>
    </border>
    <border>
      <left style="thin">
        <color indexed="64"/>
      </left>
      <right/>
      <top style="thin">
        <color auto="1"/>
      </top>
      <bottom style="medium">
        <color indexed="64"/>
      </bottom>
      <diagonal/>
    </border>
    <border>
      <left/>
      <right/>
      <top style="thin">
        <color auto="1"/>
      </top>
      <bottom style="medium">
        <color indexed="64"/>
      </bottom>
      <diagonal/>
    </border>
    <border>
      <left/>
      <right style="thin">
        <color auto="1"/>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style="thin">
        <color auto="1"/>
      </left>
      <right/>
      <top style="dotted">
        <color auto="1"/>
      </top>
      <bottom style="medium">
        <color indexed="64"/>
      </bottom>
      <diagonal/>
    </border>
    <border>
      <left/>
      <right/>
      <top style="dotted">
        <color auto="1"/>
      </top>
      <bottom style="medium">
        <color indexed="64"/>
      </bottom>
      <diagonal/>
    </border>
    <border>
      <left/>
      <right style="thin">
        <color auto="1"/>
      </right>
      <top style="dotted">
        <color auto="1"/>
      </top>
      <bottom style="medium">
        <color indexed="64"/>
      </bottom>
      <diagonal/>
    </border>
    <border>
      <left style="medium">
        <color indexed="64"/>
      </left>
      <right/>
      <top style="thin">
        <color auto="1"/>
      </top>
      <bottom style="medium">
        <color indexed="64"/>
      </bottom>
      <diagonal/>
    </border>
    <border>
      <left style="medium">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style="thin">
        <color auto="1"/>
      </bottom>
      <diagonal/>
    </border>
    <border>
      <left style="thin">
        <color indexed="64"/>
      </left>
      <right style="thin">
        <color indexed="64"/>
      </right>
      <top style="thin">
        <color auto="1"/>
      </top>
      <bottom style="thin">
        <color auto="1"/>
      </bottom>
      <diagonal/>
    </border>
    <border>
      <left style="thin">
        <color indexed="64"/>
      </left>
      <right/>
      <top/>
      <bottom style="thin">
        <color auto="1"/>
      </bottom>
      <diagonal/>
    </border>
    <border>
      <left/>
      <right style="thick">
        <color indexed="64"/>
      </right>
      <top/>
      <bottom style="thick">
        <color indexed="64"/>
      </bottom>
      <diagonal/>
    </border>
    <border>
      <left/>
      <right/>
      <top/>
      <bottom style="thick">
        <color indexed="64"/>
      </bottom>
      <diagonal/>
    </border>
    <border>
      <left style="thin">
        <color indexed="64"/>
      </left>
      <right/>
      <top/>
      <bottom style="thick">
        <color indexed="64"/>
      </bottom>
      <diagonal/>
    </border>
    <border>
      <left/>
      <right style="thick">
        <color indexed="64"/>
      </right>
      <top style="thin">
        <color indexed="64"/>
      </top>
      <bottom/>
      <diagonal/>
    </border>
    <border>
      <left style="thin">
        <color indexed="64"/>
      </left>
      <right style="thin">
        <color indexed="64"/>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diagonal/>
    </border>
    <border>
      <left style="thin">
        <color indexed="64"/>
      </left>
      <right/>
      <top/>
      <bottom/>
      <diagonal/>
    </border>
    <border>
      <left style="thin">
        <color indexed="64"/>
      </left>
      <right/>
      <top/>
      <bottom style="thin">
        <color indexed="64"/>
      </bottom>
      <diagonal/>
    </border>
    <border>
      <left/>
      <right/>
      <top style="thin">
        <color auto="1"/>
      </top>
      <bottom/>
      <diagonal/>
    </border>
    <border>
      <left/>
      <right style="medium">
        <color indexed="64"/>
      </right>
      <top style="thin">
        <color auto="1"/>
      </top>
      <bottom/>
      <diagonal/>
    </border>
    <border>
      <left/>
      <right style="medium">
        <color indexed="64"/>
      </right>
      <top/>
      <bottom style="thin">
        <color auto="1"/>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diagonalUp="1">
      <left style="thin">
        <color auto="1"/>
      </left>
      <right/>
      <top style="thin">
        <color auto="1"/>
      </top>
      <bottom style="medium">
        <color indexed="64"/>
      </bottom>
      <diagonal style="thin">
        <color auto="1"/>
      </diagonal>
    </border>
    <border diagonalUp="1">
      <left/>
      <right/>
      <top style="thin">
        <color auto="1"/>
      </top>
      <bottom style="medium">
        <color indexed="64"/>
      </bottom>
      <diagonal style="thin">
        <color auto="1"/>
      </diagonal>
    </border>
    <border diagonalUp="1">
      <left/>
      <right style="medium">
        <color indexed="64"/>
      </right>
      <top style="thin">
        <color auto="1"/>
      </top>
      <bottom style="medium">
        <color indexed="64"/>
      </bottom>
      <diagonal style="thin">
        <color auto="1"/>
      </diagonal>
    </border>
  </borders>
  <cellStyleXfs count="6">
    <xf numFmtId="0" fontId="0" fillId="0" borderId="0">
      <alignment vertical="center"/>
    </xf>
    <xf numFmtId="0" fontId="9" fillId="0" borderId="0">
      <alignment vertical="center"/>
    </xf>
    <xf numFmtId="0" fontId="9" fillId="0" borderId="0">
      <alignment vertical="center"/>
    </xf>
    <xf numFmtId="0" fontId="20" fillId="0" borderId="0">
      <alignment vertical="center"/>
    </xf>
    <xf numFmtId="38" fontId="20" fillId="0" borderId="0" applyFont="0" applyFill="0" applyBorder="0" applyAlignment="0" applyProtection="0">
      <alignment vertical="center"/>
    </xf>
    <xf numFmtId="0" fontId="44" fillId="0" borderId="0"/>
  </cellStyleXfs>
  <cellXfs count="363">
    <xf numFmtId="0" fontId="0" fillId="0" borderId="0" xfId="0">
      <alignment vertical="center"/>
    </xf>
    <xf numFmtId="0" fontId="5" fillId="0" borderId="2" xfId="0" applyFont="1" applyBorder="1" applyAlignment="1">
      <alignment vertical="center" shrinkToFit="1"/>
    </xf>
    <xf numFmtId="0" fontId="5" fillId="0" borderId="7" xfId="0" applyFont="1" applyBorder="1" applyAlignment="1">
      <alignment vertical="center" shrinkToFit="1"/>
    </xf>
    <xf numFmtId="0" fontId="5" fillId="0" borderId="0" xfId="0" applyFont="1" applyAlignment="1">
      <alignment vertical="center" shrinkToFit="1"/>
    </xf>
    <xf numFmtId="0" fontId="5" fillId="0" borderId="6" xfId="0" applyFont="1" applyBorder="1" applyAlignment="1">
      <alignment vertical="center" shrinkToFit="1"/>
    </xf>
    <xf numFmtId="0" fontId="5" fillId="0" borderId="38" xfId="0" applyFont="1" applyBorder="1" applyAlignment="1">
      <alignment vertical="center" shrinkToFit="1"/>
    </xf>
    <xf numFmtId="0" fontId="5" fillId="2" borderId="6" xfId="0" applyFont="1" applyFill="1" applyBorder="1" applyAlignment="1">
      <alignment vertical="center" shrinkToFit="1"/>
    </xf>
    <xf numFmtId="0" fontId="5" fillId="2" borderId="7" xfId="0" applyFont="1" applyFill="1" applyBorder="1" applyAlignment="1">
      <alignment vertical="center" shrinkToFit="1"/>
    </xf>
    <xf numFmtId="0" fontId="5" fillId="0" borderId="8" xfId="0" applyFont="1" applyBorder="1" applyAlignment="1">
      <alignment vertical="center" shrinkToFit="1"/>
    </xf>
    <xf numFmtId="0" fontId="5" fillId="2" borderId="15" xfId="0" applyFont="1" applyFill="1" applyBorder="1" applyAlignment="1">
      <alignment vertical="center" shrinkToFit="1"/>
    </xf>
    <xf numFmtId="0" fontId="5" fillId="2" borderId="0" xfId="0" applyFont="1" applyFill="1" applyAlignment="1">
      <alignment vertical="center" shrinkToFit="1"/>
    </xf>
    <xf numFmtId="0" fontId="6" fillId="2" borderId="39" xfId="0" applyFont="1" applyFill="1" applyBorder="1" applyAlignment="1">
      <alignment vertical="center" shrinkToFit="1"/>
    </xf>
    <xf numFmtId="0" fontId="5" fillId="0" borderId="39" xfId="0" applyFont="1" applyBorder="1" applyAlignment="1">
      <alignment vertical="center" shrinkToFit="1"/>
    </xf>
    <xf numFmtId="0" fontId="8" fillId="0" borderId="21" xfId="0" applyFont="1" applyBorder="1" applyAlignment="1">
      <alignment vertical="center" shrinkToFit="1"/>
    </xf>
    <xf numFmtId="0" fontId="8" fillId="0" borderId="46" xfId="0" applyFont="1" applyBorder="1" applyAlignment="1">
      <alignment vertical="center" shrinkToFit="1"/>
    </xf>
    <xf numFmtId="0" fontId="8" fillId="0" borderId="39" xfId="0" applyFont="1" applyBorder="1" applyAlignment="1">
      <alignment vertical="center" shrinkToFit="1"/>
    </xf>
    <xf numFmtId="0" fontId="8" fillId="0" borderId="19" xfId="0" applyFont="1" applyBorder="1" applyAlignment="1">
      <alignment vertical="center" shrinkToFit="1"/>
    </xf>
    <xf numFmtId="0" fontId="8" fillId="0" borderId="18" xfId="0" applyFont="1" applyBorder="1" applyAlignment="1">
      <alignment vertical="center" shrinkToFit="1"/>
    </xf>
    <xf numFmtId="0" fontId="8" fillId="0" borderId="42" xfId="0" applyFont="1" applyBorder="1" applyAlignment="1">
      <alignment vertical="center" shrinkToFit="1"/>
    </xf>
    <xf numFmtId="0" fontId="9" fillId="0" borderId="0" xfId="1">
      <alignment vertical="center"/>
    </xf>
    <xf numFmtId="0" fontId="10" fillId="0" borderId="0" xfId="1" applyFont="1">
      <alignment vertical="center"/>
    </xf>
    <xf numFmtId="0" fontId="11" fillId="0" borderId="0" xfId="1" applyFont="1">
      <alignment vertical="center"/>
    </xf>
    <xf numFmtId="0" fontId="11" fillId="0" borderId="8" xfId="1" applyFont="1" applyBorder="1">
      <alignment vertical="center"/>
    </xf>
    <xf numFmtId="0" fontId="11" fillId="0" borderId="1" xfId="1" applyFont="1" applyBorder="1">
      <alignment vertical="center"/>
    </xf>
    <xf numFmtId="0" fontId="14" fillId="0" borderId="0" xfId="1" applyFont="1">
      <alignment vertical="center"/>
    </xf>
    <xf numFmtId="0" fontId="15" fillId="0" borderId="0" xfId="1" applyFont="1">
      <alignment vertical="center"/>
    </xf>
    <xf numFmtId="0" fontId="18" fillId="0" borderId="0" xfId="2" applyFont="1" applyAlignment="1">
      <alignment horizontal="left" vertical="top"/>
    </xf>
    <xf numFmtId="0" fontId="18" fillId="0" borderId="0" xfId="2" applyFont="1" applyAlignment="1">
      <alignment horizontal="left" vertical="top" shrinkToFit="1"/>
    </xf>
    <xf numFmtId="0" fontId="18" fillId="0" borderId="4" xfId="2" applyFont="1" applyBorder="1" applyAlignment="1">
      <alignment horizontal="left" vertical="top" shrinkToFit="1"/>
    </xf>
    <xf numFmtId="0" fontId="19" fillId="0" borderId="0" xfId="2" applyFont="1" applyAlignment="1">
      <alignment horizontal="center" vertical="center" wrapText="1" shrinkToFit="1"/>
    </xf>
    <xf numFmtId="0" fontId="19" fillId="0" borderId="4" xfId="2" applyFont="1" applyBorder="1" applyAlignment="1">
      <alignment horizontal="center" vertical="center" wrapText="1" shrinkToFit="1"/>
    </xf>
    <xf numFmtId="0" fontId="18" fillId="0" borderId="0" xfId="2" applyFont="1" applyAlignment="1">
      <alignment horizontal="center" vertical="top"/>
    </xf>
    <xf numFmtId="0" fontId="18" fillId="0" borderId="0" xfId="2" applyFont="1" applyAlignment="1">
      <alignment horizontal="center" vertical="top" shrinkToFit="1"/>
    </xf>
    <xf numFmtId="0" fontId="19" fillId="0" borderId="0" xfId="2" applyFont="1" applyAlignment="1">
      <alignment vertical="center" wrapText="1" shrinkToFit="1"/>
    </xf>
    <xf numFmtId="0" fontId="15" fillId="0" borderId="8" xfId="1" applyFont="1" applyBorder="1">
      <alignment vertical="center"/>
    </xf>
    <xf numFmtId="0" fontId="34" fillId="3" borderId="50" xfId="0" applyFont="1" applyFill="1" applyBorder="1" applyAlignment="1">
      <alignment horizontal="center" vertical="center"/>
    </xf>
    <xf numFmtId="0" fontId="34" fillId="6" borderId="50" xfId="0" applyFont="1" applyFill="1" applyBorder="1" applyAlignment="1">
      <alignment horizontal="center" vertical="center"/>
    </xf>
    <xf numFmtId="0" fontId="35" fillId="7" borderId="50" xfId="0" applyFont="1" applyFill="1" applyBorder="1" applyAlignment="1">
      <alignment horizontal="center" vertical="center"/>
    </xf>
    <xf numFmtId="0" fontId="36" fillId="0" borderId="50" xfId="0" applyFont="1" applyBorder="1" applyAlignment="1">
      <alignment horizontal="center" vertical="center"/>
    </xf>
    <xf numFmtId="0" fontId="36" fillId="0" borderId="50" xfId="0" applyFont="1" applyBorder="1" applyAlignment="1">
      <alignment horizontal="center" vertical="center" wrapText="1"/>
    </xf>
    <xf numFmtId="0" fontId="36" fillId="0" borderId="50" xfId="0" applyFont="1" applyBorder="1">
      <alignment vertical="center"/>
    </xf>
    <xf numFmtId="0" fontId="36" fillId="0" borderId="50" xfId="0" applyFont="1" applyBorder="1" applyAlignment="1">
      <alignment vertical="center" wrapText="1"/>
    </xf>
    <xf numFmtId="0" fontId="35" fillId="0" borderId="50" xfId="0" applyFont="1" applyBorder="1" applyAlignment="1">
      <alignment horizontal="center" vertical="center" wrapText="1" shrinkToFit="1"/>
    </xf>
    <xf numFmtId="0" fontId="35" fillId="0" borderId="50" xfId="0" applyFont="1" applyBorder="1" applyAlignment="1">
      <alignment horizontal="justify" vertical="top" wrapText="1"/>
    </xf>
    <xf numFmtId="0" fontId="35" fillId="0" borderId="50" xfId="0" applyFont="1" applyBorder="1" applyAlignment="1">
      <alignment horizontal="center" vertical="center" wrapText="1"/>
    </xf>
    <xf numFmtId="0" fontId="37" fillId="0" borderId="50" xfId="0" applyFont="1" applyBorder="1">
      <alignment vertical="center"/>
    </xf>
    <xf numFmtId="0" fontId="35" fillId="0" borderId="50" xfId="0" applyFont="1" applyBorder="1" applyAlignment="1">
      <alignment vertical="center" wrapText="1"/>
    </xf>
    <xf numFmtId="0" fontId="35" fillId="0" borderId="50" xfId="0" applyFont="1" applyBorder="1">
      <alignment vertical="center"/>
    </xf>
    <xf numFmtId="0" fontId="21" fillId="0" borderId="0" xfId="0" applyFont="1">
      <alignment vertical="center"/>
    </xf>
    <xf numFmtId="0" fontId="23" fillId="0" borderId="0" xfId="0" applyFont="1">
      <alignment vertical="center"/>
    </xf>
    <xf numFmtId="0" fontId="25" fillId="0" borderId="0" xfId="0" applyFont="1" applyAlignment="1">
      <alignment horizontal="left"/>
    </xf>
    <xf numFmtId="0" fontId="23" fillId="0" borderId="0" xfId="0" applyFont="1" applyAlignment="1">
      <alignment horizontal="left"/>
    </xf>
    <xf numFmtId="0" fontId="25" fillId="0" borderId="0" xfId="0" applyFont="1" applyAlignment="1">
      <alignment shrinkToFit="1"/>
    </xf>
    <xf numFmtId="0" fontId="23" fillId="0" borderId="0" xfId="0" applyFont="1" applyAlignment="1">
      <alignment shrinkToFit="1"/>
    </xf>
    <xf numFmtId="0" fontId="26" fillId="3" borderId="50" xfId="0" applyFont="1" applyFill="1" applyBorder="1" applyAlignment="1">
      <alignment horizontal="right" vertical="center"/>
    </xf>
    <xf numFmtId="0" fontId="23" fillId="4" borderId="50" xfId="0" applyFont="1" applyFill="1" applyBorder="1" applyAlignment="1" applyProtection="1">
      <alignment horizontal="center" vertical="center" shrinkToFit="1"/>
      <protection locked="0"/>
    </xf>
    <xf numFmtId="0" fontId="26" fillId="3" borderId="50" xfId="0" applyFont="1" applyFill="1" applyBorder="1" applyAlignment="1">
      <alignment horizontal="right" vertical="center" shrinkToFit="1"/>
    </xf>
    <xf numFmtId="0" fontId="23" fillId="0" borderId="50" xfId="0" applyFont="1" applyBorder="1" applyProtection="1">
      <alignment vertical="center"/>
      <protection locked="0"/>
    </xf>
    <xf numFmtId="0" fontId="0" fillId="5" borderId="0" xfId="0" applyFill="1" applyProtection="1">
      <alignment vertical="center"/>
      <protection locked="0"/>
    </xf>
    <xf numFmtId="0" fontId="23" fillId="0" borderId="50" xfId="0" applyFont="1" applyBorder="1" applyAlignment="1" applyProtection="1">
      <alignment horizontal="center" vertical="center" shrinkToFit="1"/>
      <protection locked="0"/>
    </xf>
    <xf numFmtId="0" fontId="23" fillId="0" borderId="50" xfId="0" applyFont="1" applyBorder="1" applyAlignment="1" applyProtection="1">
      <alignment vertical="center" shrinkToFit="1"/>
      <protection locked="0"/>
    </xf>
    <xf numFmtId="0" fontId="27" fillId="3" borderId="50" xfId="0" applyFont="1" applyFill="1" applyBorder="1" applyAlignment="1">
      <alignment horizontal="right" vertical="center" shrinkToFit="1"/>
    </xf>
    <xf numFmtId="56" fontId="23" fillId="0" borderId="50" xfId="0" applyNumberFormat="1" applyFont="1" applyBorder="1" applyAlignment="1" applyProtection="1">
      <alignment horizontal="center" vertical="center" shrinkToFit="1"/>
      <protection locked="0"/>
    </xf>
    <xf numFmtId="0" fontId="28" fillId="0" borderId="0" xfId="0" applyFont="1" applyAlignment="1">
      <alignment vertical="center" shrinkToFit="1"/>
    </xf>
    <xf numFmtId="0" fontId="25" fillId="0" borderId="0" xfId="0" applyFont="1">
      <alignment vertical="center"/>
    </xf>
    <xf numFmtId="0" fontId="25" fillId="0" borderId="56" xfId="0" applyFont="1" applyBorder="1" applyAlignment="1">
      <alignment horizontal="center" vertical="top"/>
    </xf>
    <xf numFmtId="0" fontId="25" fillId="0" borderId="56" xfId="0" applyFont="1" applyBorder="1" applyAlignment="1">
      <alignment horizontal="center" vertical="top" wrapText="1"/>
    </xf>
    <xf numFmtId="0" fontId="25" fillId="0" borderId="10" xfId="0" applyFont="1" applyBorder="1" applyAlignment="1" applyProtection="1">
      <alignment horizontal="center" vertical="center" shrinkToFit="1"/>
      <protection locked="0"/>
    </xf>
    <xf numFmtId="176" fontId="23" fillId="0" borderId="50" xfId="0" applyNumberFormat="1" applyFont="1" applyBorder="1" applyAlignment="1" applyProtection="1">
      <alignment horizontal="center" vertical="center" shrinkToFit="1"/>
      <protection locked="0"/>
    </xf>
    <xf numFmtId="0" fontId="23" fillId="0" borderId="0" xfId="0" applyFont="1" applyProtection="1">
      <alignment vertical="center"/>
      <protection locked="0"/>
    </xf>
    <xf numFmtId="0" fontId="23" fillId="0" borderId="10" xfId="0" applyFont="1" applyBorder="1" applyAlignment="1" applyProtection="1">
      <alignment horizontal="center" vertical="center"/>
      <protection locked="0"/>
    </xf>
    <xf numFmtId="176" fontId="23" fillId="0" borderId="57" xfId="0" applyNumberFormat="1" applyFont="1" applyBorder="1" applyAlignment="1" applyProtection="1">
      <alignment horizontal="center" vertical="center" shrinkToFit="1"/>
      <protection locked="0"/>
    </xf>
    <xf numFmtId="0" fontId="23" fillId="0" borderId="10" xfId="0" applyFont="1" applyBorder="1" applyAlignment="1" applyProtection="1">
      <alignment horizontal="center" vertical="center" shrinkToFit="1"/>
      <protection locked="0"/>
    </xf>
    <xf numFmtId="0" fontId="24" fillId="0" borderId="0" xfId="0" applyFont="1">
      <alignment vertical="center"/>
    </xf>
    <xf numFmtId="0" fontId="0" fillId="0" borderId="0" xfId="0" applyAlignment="1">
      <alignment vertical="top"/>
    </xf>
    <xf numFmtId="0" fontId="32" fillId="0" borderId="0" xfId="0" applyFont="1" applyAlignment="1">
      <alignment vertical="top"/>
    </xf>
    <xf numFmtId="0" fontId="24" fillId="0" borderId="0" xfId="0" applyFont="1" applyAlignment="1">
      <alignment vertical="top"/>
    </xf>
    <xf numFmtId="0" fontId="25" fillId="0" borderId="0" xfId="0" applyFont="1" applyAlignment="1">
      <alignment horizontal="center" vertical="top"/>
    </xf>
    <xf numFmtId="0" fontId="32" fillId="0" borderId="0" xfId="0" applyFont="1">
      <alignment vertical="center"/>
    </xf>
    <xf numFmtId="0" fontId="23" fillId="0" borderId="0" xfId="0" applyFont="1" applyAlignment="1">
      <alignment vertical="center" shrinkToFit="1"/>
    </xf>
    <xf numFmtId="0" fontId="23" fillId="0" borderId="0" xfId="0" applyFont="1" applyAlignment="1">
      <alignment horizontal="center" vertical="center"/>
    </xf>
    <xf numFmtId="0" fontId="23" fillId="0" borderId="50" xfId="0" applyFont="1" applyBorder="1" applyAlignment="1">
      <alignment horizontal="center" vertical="center"/>
    </xf>
    <xf numFmtId="0" fontId="25" fillId="0" borderId="0" xfId="0" applyFont="1" applyAlignment="1">
      <alignment horizontal="left" vertical="center"/>
    </xf>
    <xf numFmtId="0" fontId="23" fillId="0" borderId="56" xfId="0" applyFont="1" applyBorder="1" applyAlignment="1">
      <alignment horizontal="center" vertical="center"/>
    </xf>
    <xf numFmtId="0" fontId="23" fillId="0" borderId="0" xfId="0" applyFont="1" applyAlignment="1">
      <alignment horizontal="center" vertical="center" shrinkToFit="1"/>
    </xf>
    <xf numFmtId="0" fontId="23" fillId="0" borderId="56" xfId="0" applyFont="1" applyBorder="1" applyAlignment="1">
      <alignment horizontal="center" vertical="center" shrinkToFit="1"/>
    </xf>
    <xf numFmtId="0" fontId="23" fillId="0" borderId="50" xfId="0" applyFont="1" applyBorder="1" applyAlignment="1">
      <alignment horizontal="center" vertical="center" shrinkToFit="1"/>
    </xf>
    <xf numFmtId="0" fontId="25" fillId="0" borderId="59" xfId="0" applyFont="1" applyBorder="1" applyAlignment="1">
      <alignment horizontal="center" vertical="top"/>
    </xf>
    <xf numFmtId="0" fontId="23" fillId="0" borderId="59" xfId="0" applyFont="1" applyBorder="1" applyAlignment="1" applyProtection="1">
      <alignment horizontal="center" vertical="center"/>
      <protection locked="0"/>
    </xf>
    <xf numFmtId="0" fontId="23" fillId="0" borderId="60" xfId="0" applyFont="1" applyBorder="1" applyAlignment="1" applyProtection="1">
      <alignment horizontal="center" vertical="center" shrinkToFit="1"/>
      <protection locked="0"/>
    </xf>
    <xf numFmtId="0" fontId="23" fillId="0" borderId="58" xfId="0" applyFont="1" applyBorder="1" applyAlignment="1">
      <alignment horizontal="center" vertical="center"/>
    </xf>
    <xf numFmtId="0" fontId="23" fillId="0" borderId="58" xfId="0" applyFont="1" applyBorder="1" applyAlignment="1">
      <alignment horizontal="center" vertical="center" shrinkToFit="1"/>
    </xf>
    <xf numFmtId="0" fontId="5" fillId="0" borderId="62" xfId="0" applyFont="1" applyBorder="1" applyAlignment="1">
      <alignment vertical="center" shrinkToFit="1"/>
    </xf>
    <xf numFmtId="0" fontId="23" fillId="0" borderId="59" xfId="0" applyFont="1" applyBorder="1" applyAlignment="1">
      <alignment horizontal="center" vertical="center"/>
    </xf>
    <xf numFmtId="0" fontId="23" fillId="0" borderId="62" xfId="0" applyFont="1" applyBorder="1" applyAlignment="1">
      <alignment horizontal="center" vertical="center"/>
    </xf>
    <xf numFmtId="0" fontId="23" fillId="0" borderId="50" xfId="0" applyFont="1" applyBorder="1" applyAlignment="1" applyProtection="1">
      <alignment horizontal="left" vertical="center"/>
      <protection locked="0"/>
    </xf>
    <xf numFmtId="0" fontId="23" fillId="0" borderId="50" xfId="0" applyFont="1" applyBorder="1" applyAlignment="1" applyProtection="1">
      <alignment horizontal="center" vertical="center"/>
      <protection locked="0"/>
    </xf>
    <xf numFmtId="49" fontId="23" fillId="0" borderId="7" xfId="0" applyNumberFormat="1" applyFont="1" applyBorder="1" applyAlignment="1" applyProtection="1">
      <alignment horizontal="center" vertical="center"/>
      <protection locked="0"/>
    </xf>
    <xf numFmtId="0" fontId="23" fillId="0" borderId="3" xfId="0" applyFont="1" applyBorder="1" applyAlignment="1" applyProtection="1">
      <alignment horizontal="center" vertical="center"/>
      <protection locked="0"/>
    </xf>
    <xf numFmtId="0" fontId="23" fillId="0" borderId="66" xfId="0" applyFont="1" applyBorder="1" applyAlignment="1" applyProtection="1">
      <alignment horizontal="center" vertical="center"/>
      <protection locked="0"/>
    </xf>
    <xf numFmtId="56" fontId="23" fillId="10" borderId="50" xfId="0" applyNumberFormat="1" applyFont="1" applyFill="1" applyBorder="1" applyAlignment="1" applyProtection="1">
      <alignment horizontal="center" vertical="center" shrinkToFit="1"/>
      <protection locked="0"/>
    </xf>
    <xf numFmtId="0" fontId="23" fillId="10" borderId="50" xfId="0" applyFont="1" applyFill="1" applyBorder="1" applyAlignment="1" applyProtection="1">
      <alignment horizontal="center" vertical="center" shrinkToFit="1"/>
      <protection locked="0"/>
    </xf>
    <xf numFmtId="0" fontId="26" fillId="8" borderId="50" xfId="0" applyFont="1" applyFill="1" applyBorder="1" applyAlignment="1">
      <alignment horizontal="center" vertical="center"/>
    </xf>
    <xf numFmtId="0" fontId="23" fillId="0" borderId="0" xfId="0" applyFont="1" applyAlignment="1">
      <alignment horizontal="right" vertical="center" shrinkToFit="1"/>
    </xf>
    <xf numFmtId="0" fontId="23" fillId="9" borderId="50" xfId="0" applyFont="1" applyFill="1" applyBorder="1" applyAlignment="1" applyProtection="1">
      <alignment horizontal="left" vertical="center"/>
      <protection locked="0"/>
    </xf>
    <xf numFmtId="0" fontId="40" fillId="3" borderId="50" xfId="0" applyFont="1" applyFill="1" applyBorder="1" applyAlignment="1">
      <alignment horizontal="center" vertical="center"/>
    </xf>
    <xf numFmtId="0" fontId="41" fillId="0" borderId="0" xfId="0" applyFont="1">
      <alignment vertical="center"/>
    </xf>
    <xf numFmtId="38" fontId="36" fillId="0" borderId="50" xfId="4" applyFont="1" applyBorder="1" applyAlignment="1">
      <alignment horizontal="center" vertical="center"/>
    </xf>
    <xf numFmtId="0" fontId="42" fillId="0" borderId="50" xfId="0" applyFont="1" applyBorder="1">
      <alignment vertical="center"/>
    </xf>
    <xf numFmtId="0" fontId="0" fillId="0" borderId="50" xfId="0" applyBorder="1">
      <alignment vertical="center"/>
    </xf>
    <xf numFmtId="0" fontId="43" fillId="0" borderId="50" xfId="0" applyFont="1" applyBorder="1">
      <alignment vertical="center"/>
    </xf>
    <xf numFmtId="0" fontId="44" fillId="0" borderId="0" xfId="5"/>
    <xf numFmtId="0" fontId="45" fillId="0" borderId="0" xfId="5" applyFont="1" applyAlignment="1">
      <alignment horizontal="left" vertical="center" wrapText="1"/>
    </xf>
    <xf numFmtId="0" fontId="46" fillId="0" borderId="0" xfId="5" applyFont="1" applyAlignment="1">
      <alignment vertical="center"/>
    </xf>
    <xf numFmtId="0" fontId="9" fillId="0" borderId="0" xfId="5" applyFont="1"/>
    <xf numFmtId="0" fontId="47" fillId="0" borderId="69" xfId="5" applyFont="1" applyBorder="1" applyAlignment="1" applyProtection="1">
      <alignment vertical="center"/>
      <protection locked="0"/>
    </xf>
    <xf numFmtId="0" fontId="47" fillId="0" borderId="70" xfId="5" applyFont="1" applyBorder="1" applyAlignment="1" applyProtection="1">
      <alignment vertical="center"/>
      <protection locked="0"/>
    </xf>
    <xf numFmtId="0" fontId="47" fillId="0" borderId="70" xfId="5" applyFont="1" applyBorder="1" applyAlignment="1" applyProtection="1">
      <alignment vertical="center" wrapText="1"/>
      <protection locked="0"/>
    </xf>
    <xf numFmtId="0" fontId="47" fillId="0" borderId="72" xfId="5" applyFont="1" applyBorder="1" applyAlignment="1" applyProtection="1">
      <alignment vertical="center" wrapText="1"/>
      <protection locked="0"/>
    </xf>
    <xf numFmtId="0" fontId="49" fillId="2" borderId="27" xfId="5" applyFont="1" applyFill="1" applyBorder="1" applyAlignment="1">
      <alignment horizontal="left" vertical="center" shrinkToFit="1"/>
    </xf>
    <xf numFmtId="0" fontId="49" fillId="2" borderId="42" xfId="5" applyFont="1" applyFill="1" applyBorder="1" applyAlignment="1">
      <alignment horizontal="center" vertical="center" wrapText="1"/>
    </xf>
    <xf numFmtId="0" fontId="49" fillId="2" borderId="15" xfId="5" applyFont="1" applyFill="1" applyBorder="1" applyAlignment="1">
      <alignment horizontal="left" vertical="center" shrinkToFit="1"/>
    </xf>
    <xf numFmtId="0" fontId="49" fillId="2" borderId="14" xfId="5" applyFont="1" applyFill="1" applyBorder="1" applyAlignment="1">
      <alignment horizontal="distributed" vertical="center" wrapText="1"/>
    </xf>
    <xf numFmtId="0" fontId="49" fillId="2" borderId="19" xfId="5" applyFont="1" applyFill="1" applyBorder="1" applyAlignment="1">
      <alignment horizontal="distributed" vertical="center"/>
    </xf>
    <xf numFmtId="0" fontId="17" fillId="0" borderId="50" xfId="0" applyFont="1" applyBorder="1" applyAlignment="1">
      <alignment vertical="center" wrapText="1"/>
    </xf>
    <xf numFmtId="0" fontId="23" fillId="0" borderId="50" xfId="0" applyFont="1" applyBorder="1">
      <alignment vertical="center"/>
    </xf>
    <xf numFmtId="0" fontId="24" fillId="0" borderId="50" xfId="0" applyFont="1" applyBorder="1">
      <alignment vertical="center"/>
    </xf>
    <xf numFmtId="0" fontId="32" fillId="0" borderId="0" xfId="0" applyFont="1">
      <alignment vertical="center"/>
    </xf>
    <xf numFmtId="0" fontId="25" fillId="0" borderId="58" xfId="0" applyFont="1" applyBorder="1" applyAlignment="1">
      <alignment horizontal="left"/>
    </xf>
    <xf numFmtId="0" fontId="23" fillId="0" borderId="7" xfId="0" applyFont="1" applyBorder="1" applyAlignment="1" applyProtection="1">
      <alignment horizontal="left" vertical="center"/>
      <protection locked="0"/>
    </xf>
    <xf numFmtId="0" fontId="23" fillId="0" borderId="10" xfId="0" applyFont="1" applyBorder="1" applyAlignment="1" applyProtection="1">
      <alignment horizontal="left" vertical="center"/>
      <protection locked="0"/>
    </xf>
    <xf numFmtId="0" fontId="32" fillId="0" borderId="0" xfId="0" applyFont="1" applyAlignment="1">
      <alignment vertical="top"/>
    </xf>
    <xf numFmtId="0" fontId="47" fillId="0" borderId="7" xfId="5" applyFont="1" applyBorder="1" applyAlignment="1" applyProtection="1">
      <alignment horizontal="left" vertical="center" wrapText="1"/>
      <protection locked="0"/>
    </xf>
    <xf numFmtId="0" fontId="47" fillId="0" borderId="6" xfId="5" applyFont="1" applyBorder="1" applyAlignment="1" applyProtection="1">
      <alignment horizontal="left" vertical="center" wrapText="1"/>
      <protection locked="0"/>
    </xf>
    <xf numFmtId="0" fontId="47" fillId="0" borderId="23" xfId="5" applyFont="1" applyBorder="1" applyAlignment="1" applyProtection="1">
      <alignment horizontal="left" vertical="center" wrapText="1"/>
      <protection locked="0"/>
    </xf>
    <xf numFmtId="0" fontId="48" fillId="0" borderId="47" xfId="5" applyFont="1" applyBorder="1" applyAlignment="1" applyProtection="1">
      <alignment horizontal="center" vertical="center"/>
      <protection locked="0"/>
    </xf>
    <xf numFmtId="0" fontId="48" fillId="0" borderId="6" xfId="5" applyFont="1" applyBorder="1" applyAlignment="1" applyProtection="1">
      <alignment horizontal="center" vertical="center"/>
      <protection locked="0"/>
    </xf>
    <xf numFmtId="0" fontId="48" fillId="0" borderId="23" xfId="5" applyFont="1" applyBorder="1" applyAlignment="1" applyProtection="1">
      <alignment horizontal="center" vertical="center"/>
      <protection locked="0"/>
    </xf>
    <xf numFmtId="0" fontId="47" fillId="0" borderId="40" xfId="5" applyFont="1" applyBorder="1" applyAlignment="1" applyProtection="1">
      <alignment horizontal="left" vertical="center" wrapText="1"/>
      <protection locked="0"/>
    </xf>
    <xf numFmtId="0" fontId="47" fillId="0" borderId="68" xfId="5" applyFont="1" applyBorder="1" applyAlignment="1" applyProtection="1">
      <alignment horizontal="left" vertical="center" wrapText="1"/>
      <protection locked="0"/>
    </xf>
    <xf numFmtId="0" fontId="47" fillId="0" borderId="67" xfId="5" applyFont="1" applyBorder="1" applyAlignment="1" applyProtection="1">
      <alignment horizontal="left" vertical="center" wrapText="1"/>
      <protection locked="0"/>
    </xf>
    <xf numFmtId="0" fontId="47" fillId="0" borderId="6" xfId="5" applyFont="1" applyBorder="1" applyAlignment="1" applyProtection="1">
      <alignment horizontal="left" vertical="center"/>
      <protection locked="0"/>
    </xf>
    <xf numFmtId="0" fontId="47" fillId="0" borderId="23" xfId="5" applyFont="1" applyBorder="1" applyAlignment="1" applyProtection="1">
      <alignment horizontal="left" vertical="center"/>
      <protection locked="0"/>
    </xf>
    <xf numFmtId="0" fontId="49" fillId="2" borderId="0" xfId="5" applyFont="1" applyFill="1" applyAlignment="1">
      <alignment horizontal="left" vertical="center" shrinkToFit="1"/>
    </xf>
    <xf numFmtId="0" fontId="49" fillId="2" borderId="20" xfId="5" applyFont="1" applyFill="1" applyBorder="1" applyAlignment="1">
      <alignment horizontal="left" vertical="center" shrinkToFit="1"/>
    </xf>
    <xf numFmtId="176" fontId="49" fillId="2" borderId="0" xfId="5" applyNumberFormat="1" applyFont="1" applyFill="1" applyAlignment="1">
      <alignment horizontal="left" vertical="center" shrinkToFit="1"/>
    </xf>
    <xf numFmtId="176" fontId="49" fillId="2" borderId="20" xfId="5" applyNumberFormat="1" applyFont="1" applyFill="1" applyBorder="1" applyAlignment="1">
      <alignment horizontal="left" vertical="center" shrinkToFit="1"/>
    </xf>
    <xf numFmtId="0" fontId="49" fillId="2" borderId="27" xfId="5" applyFont="1" applyFill="1" applyBorder="1" applyAlignment="1">
      <alignment horizontal="left" vertical="center" shrinkToFit="1"/>
    </xf>
    <xf numFmtId="0" fontId="49" fillId="2" borderId="29" xfId="5" applyFont="1" applyFill="1" applyBorder="1" applyAlignment="1">
      <alignment horizontal="left" vertical="center" shrinkToFit="1"/>
    </xf>
    <xf numFmtId="0" fontId="49" fillId="2" borderId="15" xfId="5" applyFont="1" applyFill="1" applyBorder="1" applyAlignment="1">
      <alignment horizontal="left" vertical="center" shrinkToFit="1"/>
    </xf>
    <xf numFmtId="0" fontId="49" fillId="2" borderId="17" xfId="5" applyFont="1" applyFill="1" applyBorder="1" applyAlignment="1">
      <alignment horizontal="left" vertical="center" shrinkToFit="1"/>
    </xf>
    <xf numFmtId="0" fontId="48" fillId="0" borderId="75" xfId="5" applyFont="1" applyBorder="1" applyAlignment="1" applyProtection="1">
      <alignment horizontal="center" vertical="center"/>
      <protection locked="0"/>
    </xf>
    <xf numFmtId="0" fontId="48" fillId="0" borderId="74" xfId="5" applyFont="1" applyBorder="1" applyAlignment="1" applyProtection="1">
      <alignment horizontal="center" vertical="center"/>
      <protection locked="0"/>
    </xf>
    <xf numFmtId="0" fontId="48" fillId="0" borderId="73" xfId="5" applyFont="1" applyBorder="1" applyAlignment="1" applyProtection="1">
      <alignment horizontal="center" vertical="center"/>
      <protection locked="0"/>
    </xf>
    <xf numFmtId="0" fontId="48" fillId="0" borderId="72" xfId="5" applyFont="1" applyBorder="1" applyAlignment="1" applyProtection="1">
      <alignment horizontal="center" vertical="center"/>
      <protection locked="0"/>
    </xf>
    <xf numFmtId="0" fontId="48" fillId="0" borderId="50" xfId="5" applyFont="1" applyBorder="1" applyAlignment="1" applyProtection="1">
      <alignment horizontal="center" vertical="center"/>
      <protection locked="0"/>
    </xf>
    <xf numFmtId="0" fontId="48" fillId="0" borderId="71" xfId="5" applyFont="1" applyBorder="1" applyAlignment="1" applyProtection="1">
      <alignment horizontal="center" vertical="center"/>
      <protection locked="0"/>
    </xf>
    <xf numFmtId="0" fontId="47" fillId="0" borderId="50" xfId="5" applyFont="1" applyBorder="1" applyAlignment="1" applyProtection="1">
      <alignment horizontal="left" vertical="center" wrapText="1"/>
      <protection locked="0"/>
    </xf>
    <xf numFmtId="0" fontId="47" fillId="0" borderId="71" xfId="5" applyFont="1" applyBorder="1" applyAlignment="1" applyProtection="1">
      <alignment horizontal="left" vertical="center" wrapText="1"/>
      <protection locked="0"/>
    </xf>
    <xf numFmtId="0" fontId="51" fillId="2" borderId="14" xfId="5" applyFont="1" applyFill="1" applyBorder="1" applyAlignment="1">
      <alignment horizontal="center" vertical="center" shrinkToFit="1"/>
    </xf>
    <xf numFmtId="0" fontId="51" fillId="2" borderId="15" xfId="5" applyFont="1" applyFill="1" applyBorder="1" applyAlignment="1">
      <alignment horizontal="center" vertical="center" shrinkToFit="1"/>
    </xf>
    <xf numFmtId="0" fontId="51" fillId="2" borderId="42" xfId="5" applyFont="1" applyFill="1" applyBorder="1" applyAlignment="1">
      <alignment horizontal="center" vertical="center" shrinkToFit="1"/>
    </xf>
    <xf numFmtId="0" fontId="51" fillId="2" borderId="27" xfId="5" applyFont="1" applyFill="1" applyBorder="1" applyAlignment="1">
      <alignment horizontal="center" vertical="center" shrinkToFit="1"/>
    </xf>
    <xf numFmtId="0" fontId="50" fillId="2" borderId="14" xfId="5" applyFont="1" applyFill="1" applyBorder="1" applyAlignment="1">
      <alignment horizontal="center" vertical="center" shrinkToFit="1"/>
    </xf>
    <xf numFmtId="0" fontId="50" fillId="2" borderId="16" xfId="5" applyFont="1" applyFill="1" applyBorder="1" applyAlignment="1">
      <alignment horizontal="center" vertical="center" shrinkToFit="1"/>
    </xf>
    <xf numFmtId="0" fontId="50" fillId="2" borderId="42" xfId="5" applyFont="1" applyFill="1" applyBorder="1" applyAlignment="1">
      <alignment horizontal="center" vertical="center" shrinkToFit="1"/>
    </xf>
    <xf numFmtId="0" fontId="50" fillId="2" borderId="28" xfId="5" applyFont="1" applyFill="1" applyBorder="1" applyAlignment="1">
      <alignment horizontal="center" vertical="center" shrinkToFit="1"/>
    </xf>
    <xf numFmtId="0" fontId="50" fillId="2" borderId="74" xfId="5" applyFont="1" applyFill="1" applyBorder="1" applyAlignment="1">
      <alignment horizontal="center" vertical="center" shrinkToFit="1"/>
    </xf>
    <xf numFmtId="0" fontId="50" fillId="2" borderId="73" xfId="5" applyFont="1" applyFill="1" applyBorder="1" applyAlignment="1">
      <alignment horizontal="center" vertical="center" shrinkToFit="1"/>
    </xf>
    <xf numFmtId="0" fontId="50" fillId="2" borderId="68" xfId="5" applyFont="1" applyFill="1" applyBorder="1" applyAlignment="1">
      <alignment horizontal="center" vertical="center" shrinkToFit="1"/>
    </xf>
    <xf numFmtId="0" fontId="50" fillId="2" borderId="67" xfId="5" applyFont="1" applyFill="1" applyBorder="1" applyAlignment="1">
      <alignment horizontal="center" vertical="center" shrinkToFit="1"/>
    </xf>
    <xf numFmtId="0" fontId="3" fillId="0" borderId="15" xfId="0" applyFont="1" applyBorder="1" applyAlignment="1">
      <alignment horizontal="center" vertical="center" shrinkToFit="1"/>
    </xf>
    <xf numFmtId="0" fontId="3" fillId="0" borderId="15" xfId="0" applyFont="1" applyBorder="1" applyAlignment="1">
      <alignment horizontal="left" vertical="center" shrinkToFit="1"/>
    </xf>
    <xf numFmtId="0" fontId="3" fillId="0" borderId="0" xfId="0" applyFont="1" applyAlignment="1">
      <alignment horizontal="left" vertical="center" shrinkToFit="1"/>
    </xf>
    <xf numFmtId="0" fontId="5" fillId="0" borderId="7" xfId="0" applyFont="1" applyBorder="1" applyAlignment="1">
      <alignment vertical="center" shrinkToFit="1"/>
    </xf>
    <xf numFmtId="0" fontId="5" fillId="0" borderId="6" xfId="0" applyFont="1" applyBorder="1" applyAlignment="1">
      <alignment vertical="center" shrinkToFit="1"/>
    </xf>
    <xf numFmtId="0" fontId="5" fillId="0" borderId="23" xfId="0" applyFont="1" applyBorder="1" applyAlignment="1">
      <alignment vertical="center" shrinkToFit="1"/>
    </xf>
    <xf numFmtId="0" fontId="5" fillId="0" borderId="4" xfId="0" applyFont="1" applyBorder="1" applyAlignment="1">
      <alignment vertical="center" shrinkToFit="1"/>
    </xf>
    <xf numFmtId="0" fontId="5" fillId="0" borderId="49" xfId="0" applyFont="1" applyBorder="1" applyAlignment="1">
      <alignment vertical="center" shrinkToFit="1"/>
    </xf>
    <xf numFmtId="0" fontId="5" fillId="2" borderId="6" xfId="0" applyFont="1" applyFill="1" applyBorder="1" applyAlignment="1">
      <alignment horizontal="left" vertical="center" shrinkToFit="1"/>
    </xf>
    <xf numFmtId="0" fontId="5" fillId="2" borderId="23" xfId="0" applyFont="1" applyFill="1" applyBorder="1" applyAlignment="1">
      <alignment horizontal="left" vertical="center" shrinkToFit="1"/>
    </xf>
    <xf numFmtId="0" fontId="3" fillId="0" borderId="30" xfId="0" applyFont="1" applyBorder="1" applyAlignment="1">
      <alignment horizontal="center" vertical="center" textRotation="255" shrinkToFit="1"/>
    </xf>
    <xf numFmtId="0" fontId="3" fillId="0" borderId="24" xfId="0" applyFont="1" applyBorder="1" applyAlignment="1">
      <alignment horizontal="center" vertical="center" textRotation="255" shrinkToFit="1"/>
    </xf>
    <xf numFmtId="0" fontId="3" fillId="0" borderId="25" xfId="0" applyFont="1" applyBorder="1" applyAlignment="1">
      <alignment horizontal="center" vertical="center" textRotation="255" shrinkToFit="1"/>
    </xf>
    <xf numFmtId="0" fontId="5" fillId="0" borderId="31" xfId="0" applyFont="1" applyBorder="1" applyAlignment="1">
      <alignment horizontal="center" vertical="center" shrinkToFit="1"/>
    </xf>
    <xf numFmtId="0" fontId="5" fillId="0" borderId="15" xfId="0" applyFont="1" applyBorder="1" applyAlignment="1">
      <alignment horizontal="center" vertical="center" shrinkToFit="1"/>
    </xf>
    <xf numFmtId="0" fontId="3" fillId="0" borderId="0" xfId="0" applyFont="1" applyAlignment="1">
      <alignment horizontal="center" vertical="center" shrinkToFit="1"/>
    </xf>
    <xf numFmtId="0" fontId="5" fillId="0" borderId="32" xfId="0" applyFont="1" applyBorder="1" applyAlignment="1">
      <alignment horizontal="center" vertical="center" shrinkToFit="1"/>
    </xf>
    <xf numFmtId="0" fontId="5" fillId="0" borderId="33" xfId="0" applyFont="1" applyBorder="1" applyAlignment="1">
      <alignment horizontal="center" vertical="center" shrinkToFit="1"/>
    </xf>
    <xf numFmtId="0" fontId="5" fillId="0" borderId="34" xfId="0" applyFont="1" applyBorder="1" applyAlignment="1">
      <alignment horizontal="center" vertical="center" shrinkToFit="1"/>
    </xf>
    <xf numFmtId="0" fontId="5" fillId="0" borderId="2" xfId="0" applyFont="1" applyBorder="1" applyAlignment="1">
      <alignment horizontal="center" vertical="center" shrinkToFit="1"/>
    </xf>
    <xf numFmtId="0" fontId="5" fillId="0" borderId="1" xfId="0" applyFont="1" applyBorder="1" applyAlignment="1">
      <alignment horizontal="center" vertical="center" shrinkToFit="1"/>
    </xf>
    <xf numFmtId="0" fontId="5" fillId="0" borderId="35" xfId="0" applyFont="1" applyBorder="1" applyAlignment="1">
      <alignment horizontal="center" vertical="center" shrinkToFit="1"/>
    </xf>
    <xf numFmtId="0" fontId="5" fillId="0" borderId="36" xfId="0" applyFont="1" applyBorder="1" applyAlignment="1">
      <alignment horizontal="center" vertical="center" shrinkToFit="1"/>
    </xf>
    <xf numFmtId="0" fontId="5" fillId="0" borderId="37"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22" xfId="0" applyFont="1" applyBorder="1" applyAlignment="1">
      <alignment horizontal="center" vertical="center" shrinkToFit="1"/>
    </xf>
    <xf numFmtId="176" fontId="5" fillId="0" borderId="38" xfId="0" applyNumberFormat="1" applyFont="1" applyBorder="1" applyAlignment="1">
      <alignment horizontal="center" vertical="center" shrinkToFit="1"/>
    </xf>
    <xf numFmtId="176" fontId="5" fillId="0" borderId="39" xfId="0" applyNumberFormat="1" applyFont="1" applyBorder="1" applyAlignment="1">
      <alignment horizontal="center" vertical="center" shrinkToFit="1"/>
    </xf>
    <xf numFmtId="176" fontId="5" fillId="0" borderId="40" xfId="0" applyNumberFormat="1"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39" xfId="0" applyFont="1" applyBorder="1" applyAlignment="1">
      <alignment horizontal="center" vertical="center" shrinkToFit="1"/>
    </xf>
    <xf numFmtId="0" fontId="5" fillId="0" borderId="41" xfId="0" applyFont="1" applyBorder="1" applyAlignment="1">
      <alignment horizontal="center" vertical="center" shrinkToFit="1"/>
    </xf>
    <xf numFmtId="0" fontId="5" fillId="0" borderId="26" xfId="0" applyFont="1" applyBorder="1" applyAlignment="1">
      <alignment horizontal="center" vertical="center" shrinkToFit="1"/>
    </xf>
    <xf numFmtId="0" fontId="5" fillId="0" borderId="27" xfId="0" applyFont="1" applyBorder="1" applyAlignment="1">
      <alignment horizontal="center" vertical="center" shrinkToFit="1"/>
    </xf>
    <xf numFmtId="0" fontId="5" fillId="0" borderId="1" xfId="0" applyFont="1" applyBorder="1" applyAlignment="1">
      <alignment vertical="center" shrinkToFit="1"/>
    </xf>
    <xf numFmtId="0" fontId="5" fillId="0" borderId="22" xfId="0" applyFont="1" applyBorder="1" applyAlignment="1">
      <alignment vertical="center" shrinkToFit="1"/>
    </xf>
    <xf numFmtId="177" fontId="5" fillId="0" borderId="6" xfId="0" applyNumberFormat="1" applyFont="1" applyBorder="1" applyAlignment="1">
      <alignment vertical="center" shrinkToFit="1"/>
    </xf>
    <xf numFmtId="177" fontId="5" fillId="0" borderId="23" xfId="0" applyNumberFormat="1" applyFont="1" applyBorder="1" applyAlignment="1">
      <alignment vertical="center" shrinkToFit="1"/>
    </xf>
    <xf numFmtId="0" fontId="5" fillId="0" borderId="7" xfId="0" applyFont="1" applyBorder="1" applyAlignment="1">
      <alignment horizontal="center" vertical="center" shrinkToFit="1"/>
    </xf>
    <xf numFmtId="0" fontId="5" fillId="0" borderId="6" xfId="0" applyFont="1" applyBorder="1" applyAlignment="1">
      <alignment horizontal="center" vertical="center" shrinkToFit="1"/>
    </xf>
    <xf numFmtId="0" fontId="5" fillId="0" borderId="23" xfId="0" applyFont="1" applyBorder="1" applyAlignment="1">
      <alignment horizontal="center" vertical="center" shrinkToFit="1"/>
    </xf>
    <xf numFmtId="179" fontId="5" fillId="0" borderId="26" xfId="0" applyNumberFormat="1" applyFont="1" applyBorder="1" applyAlignment="1">
      <alignment horizontal="center" vertical="center" shrinkToFit="1"/>
    </xf>
    <xf numFmtId="179" fontId="5" fillId="0" borderId="27" xfId="0" applyNumberFormat="1" applyFont="1" applyBorder="1" applyAlignment="1">
      <alignment horizontal="center" vertical="center" shrinkToFit="1"/>
    </xf>
    <xf numFmtId="179" fontId="5" fillId="0" borderId="29" xfId="0" applyNumberFormat="1" applyFont="1" applyBorder="1" applyAlignment="1">
      <alignment horizontal="center" vertical="center" shrinkToFit="1"/>
    </xf>
    <xf numFmtId="0" fontId="3" fillId="0" borderId="43" xfId="0" applyFont="1" applyBorder="1" applyAlignment="1">
      <alignment horizontal="center" vertical="center" shrinkToFit="1"/>
    </xf>
    <xf numFmtId="0" fontId="3" fillId="0" borderId="44" xfId="0" applyFont="1" applyBorder="1" applyAlignment="1">
      <alignment horizontal="center" vertical="center" shrinkToFit="1"/>
    </xf>
    <xf numFmtId="0" fontId="3" fillId="0" borderId="45" xfId="0" applyFont="1" applyBorder="1" applyAlignment="1">
      <alignment horizontal="center" vertical="center" shrinkToFit="1"/>
    </xf>
    <xf numFmtId="0" fontId="5" fillId="0" borderId="1" xfId="0" applyFont="1" applyBorder="1" applyAlignment="1">
      <alignment horizontal="left" vertical="center" shrinkToFit="1"/>
    </xf>
    <xf numFmtId="0" fontId="5" fillId="0" borderId="22" xfId="0" applyFont="1" applyBorder="1" applyAlignment="1">
      <alignment horizontal="left" vertical="center" shrinkToFit="1"/>
    </xf>
    <xf numFmtId="0" fontId="3" fillId="0" borderId="11" xfId="0" applyFont="1" applyBorder="1" applyAlignment="1">
      <alignment horizontal="center" vertical="center" wrapText="1" shrinkToFit="1"/>
    </xf>
    <xf numFmtId="0" fontId="3" fillId="0" borderId="12"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26" xfId="0" applyFont="1" applyBorder="1" applyAlignment="1">
      <alignment horizontal="center"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5" fillId="0" borderId="8" xfId="0" applyFont="1" applyBorder="1" applyAlignment="1">
      <alignment horizontal="center" vertical="center" shrinkToFit="1"/>
    </xf>
    <xf numFmtId="0" fontId="5" fillId="0" borderId="0" xfId="0" applyFont="1" applyAlignment="1">
      <alignment horizontal="center" vertical="center" shrinkToFit="1"/>
    </xf>
    <xf numFmtId="0" fontId="5" fillId="0" borderId="9" xfId="0" applyFont="1" applyBorder="1" applyAlignment="1">
      <alignment horizontal="center" vertical="center" shrinkToFit="1"/>
    </xf>
    <xf numFmtId="0" fontId="5" fillId="0" borderId="28" xfId="0" applyFont="1" applyBorder="1" applyAlignment="1">
      <alignment horizontal="center" vertical="center" shrinkToFit="1"/>
    </xf>
    <xf numFmtId="0" fontId="3" fillId="0" borderId="31" xfId="0" applyFont="1" applyBorder="1" applyAlignment="1">
      <alignment horizontal="center" vertical="center" shrinkToFit="1"/>
    </xf>
    <xf numFmtId="0" fontId="3" fillId="0" borderId="16" xfId="0" applyFont="1" applyBorder="1" applyAlignment="1">
      <alignment horizontal="center" vertical="center" shrinkToFit="1"/>
    </xf>
    <xf numFmtId="0" fontId="3" fillId="0" borderId="62" xfId="0" applyFont="1" applyBorder="1" applyAlignment="1">
      <alignment horizontal="center" vertical="center" shrinkToFit="1"/>
    </xf>
    <xf numFmtId="0" fontId="3" fillId="0" borderId="58" xfId="0" applyFont="1" applyBorder="1" applyAlignment="1">
      <alignment horizontal="center" vertical="center" shrinkToFit="1"/>
    </xf>
    <xf numFmtId="0" fontId="3" fillId="0" borderId="59" xfId="0" applyFont="1" applyBorder="1" applyAlignment="1">
      <alignment horizontal="center" vertical="center" shrinkToFit="1"/>
    </xf>
    <xf numFmtId="0" fontId="5" fillId="0" borderId="20" xfId="0" applyFont="1" applyBorder="1" applyAlignment="1">
      <alignment horizontal="center" vertical="center" shrinkToFit="1"/>
    </xf>
    <xf numFmtId="0" fontId="4" fillId="0" borderId="14" xfId="0" applyFont="1" applyBorder="1" applyAlignment="1">
      <alignment horizontal="center" vertical="center" shrinkToFit="1"/>
    </xf>
    <xf numFmtId="0" fontId="4" fillId="0" borderId="15" xfId="0" applyFont="1" applyBorder="1" applyAlignment="1">
      <alignment horizontal="center" vertical="center" shrinkToFit="1"/>
    </xf>
    <xf numFmtId="0" fontId="4" fillId="0" borderId="19" xfId="0" applyFont="1" applyBorder="1" applyAlignment="1">
      <alignment horizontal="center" vertical="center" shrinkToFit="1"/>
    </xf>
    <xf numFmtId="0" fontId="4" fillId="0" borderId="0" xfId="0" applyFont="1" applyAlignment="1">
      <alignment horizontal="center" vertical="center" shrinkToFit="1"/>
    </xf>
    <xf numFmtId="0" fontId="4" fillId="0" borderId="42" xfId="0" applyFont="1" applyBorder="1" applyAlignment="1">
      <alignment horizontal="center" vertical="center" shrinkToFit="1"/>
    </xf>
    <xf numFmtId="0" fontId="4" fillId="0" borderId="27" xfId="0" applyFont="1" applyBorder="1" applyAlignment="1">
      <alignment horizontal="center" vertical="center" shrinkToFit="1"/>
    </xf>
    <xf numFmtId="0" fontId="4" fillId="0" borderId="19" xfId="0" applyFont="1" applyBorder="1" applyAlignment="1">
      <alignment horizontal="center" vertical="center" wrapText="1" shrinkToFit="1"/>
    </xf>
    <xf numFmtId="0" fontId="4" fillId="0" borderId="9" xfId="0" applyFont="1" applyBorder="1" applyAlignment="1">
      <alignment horizontal="center" vertical="center" shrinkToFit="1"/>
    </xf>
    <xf numFmtId="0" fontId="5" fillId="0" borderId="0" xfId="0" applyFont="1" applyAlignment="1">
      <alignment horizontal="left" vertical="center" shrinkToFit="1"/>
    </xf>
    <xf numFmtId="0" fontId="5" fillId="0" borderId="20" xfId="0" applyFont="1" applyBorder="1" applyAlignment="1">
      <alignment horizontal="left" vertical="center" shrinkToFit="1"/>
    </xf>
    <xf numFmtId="0" fontId="5" fillId="0" borderId="6" xfId="0" applyFont="1" applyBorder="1" applyAlignment="1">
      <alignment horizontal="left" vertical="center" shrinkToFit="1"/>
    </xf>
    <xf numFmtId="0" fontId="5" fillId="0" borderId="23" xfId="0" applyFont="1" applyBorder="1" applyAlignment="1">
      <alignment horizontal="left" vertical="center" shrinkToFit="1"/>
    </xf>
    <xf numFmtId="0" fontId="5" fillId="0" borderId="39" xfId="0" applyFont="1" applyBorder="1" applyAlignment="1">
      <alignment horizontal="left" vertical="center" shrinkToFit="1"/>
    </xf>
    <xf numFmtId="0" fontId="5" fillId="0" borderId="41" xfId="0" applyFont="1" applyBorder="1" applyAlignment="1">
      <alignment horizontal="left" vertical="center" shrinkToFit="1"/>
    </xf>
    <xf numFmtId="176" fontId="5" fillId="0" borderId="76" xfId="0" applyNumberFormat="1" applyFont="1" applyBorder="1" applyAlignment="1">
      <alignment horizontal="center" vertical="center" shrinkToFit="1"/>
    </xf>
    <xf numFmtId="176" fontId="5" fillId="0" borderId="77" xfId="0" applyNumberFormat="1" applyFont="1" applyBorder="1" applyAlignment="1">
      <alignment horizontal="center" vertical="center" shrinkToFit="1"/>
    </xf>
    <xf numFmtId="176" fontId="5" fillId="0" borderId="78" xfId="0" applyNumberFormat="1" applyFont="1" applyBorder="1" applyAlignment="1">
      <alignment horizontal="center" vertical="center" shrinkToFit="1"/>
    </xf>
    <xf numFmtId="0" fontId="3" fillId="0" borderId="2" xfId="0" applyFont="1" applyBorder="1" applyAlignment="1">
      <alignment horizontal="center" vertical="center" shrinkToFit="1"/>
    </xf>
    <xf numFmtId="0" fontId="3" fillId="0" borderId="1" xfId="0" applyFont="1" applyBorder="1" applyAlignment="1">
      <alignment horizontal="center" vertical="center" shrinkToFit="1"/>
    </xf>
    <xf numFmtId="0" fontId="3" fillId="0" borderId="3" xfId="0" applyFont="1" applyBorder="1" applyAlignment="1">
      <alignment horizontal="center" vertical="center" shrinkToFit="1"/>
    </xf>
    <xf numFmtId="0" fontId="5" fillId="0" borderId="8" xfId="0" applyFont="1" applyBorder="1" applyAlignment="1">
      <alignment vertical="center" shrinkToFit="1"/>
    </xf>
    <xf numFmtId="0" fontId="5" fillId="0" borderId="0" xfId="0" applyFont="1" applyAlignment="1">
      <alignment vertical="center" shrinkToFit="1"/>
    </xf>
    <xf numFmtId="0" fontId="5" fillId="0" borderId="20" xfId="0" applyFont="1" applyBorder="1" applyAlignment="1">
      <alignment vertical="center" shrinkToFit="1"/>
    </xf>
    <xf numFmtId="176" fontId="3" fillId="0" borderId="27" xfId="0" applyNumberFormat="1" applyFont="1" applyBorder="1" applyAlignment="1">
      <alignment horizontal="right" vertical="center" shrinkToFit="1"/>
    </xf>
    <xf numFmtId="0" fontId="4" fillId="0" borderId="16" xfId="0" applyFont="1" applyBorder="1" applyAlignment="1">
      <alignment horizontal="center" vertical="center" shrinkToFit="1"/>
    </xf>
    <xf numFmtId="0" fontId="4" fillId="0" borderId="28" xfId="0" applyFont="1" applyBorder="1" applyAlignment="1">
      <alignment horizontal="center" vertical="center" shrinkToFit="1"/>
    </xf>
    <xf numFmtId="0" fontId="5" fillId="0" borderId="32" xfId="0" applyFont="1" applyBorder="1" applyAlignment="1">
      <alignment vertical="center" shrinkToFit="1"/>
    </xf>
    <xf numFmtId="0" fontId="5" fillId="0" borderId="33" xfId="0" applyFont="1" applyBorder="1" applyAlignment="1">
      <alignment vertical="center" shrinkToFit="1"/>
    </xf>
    <xf numFmtId="0" fontId="5" fillId="0" borderId="34" xfId="0" applyFont="1" applyBorder="1" applyAlignment="1">
      <alignment vertical="center" shrinkToFit="1"/>
    </xf>
    <xf numFmtId="0" fontId="5" fillId="2" borderId="33" xfId="0" applyFont="1" applyFill="1" applyBorder="1" applyAlignment="1">
      <alignment horizontal="left" vertical="center" shrinkToFit="1"/>
    </xf>
    <xf numFmtId="0" fontId="5" fillId="2" borderId="48" xfId="0" applyFont="1" applyFill="1" applyBorder="1" applyAlignment="1">
      <alignment horizontal="left" vertical="center" shrinkToFit="1"/>
    </xf>
    <xf numFmtId="0" fontId="5" fillId="2" borderId="6" xfId="0" applyFont="1" applyFill="1" applyBorder="1" applyAlignment="1">
      <alignment horizontal="center" vertical="center" shrinkToFit="1"/>
    </xf>
    <xf numFmtId="0" fontId="5" fillId="2" borderId="10" xfId="0" applyFont="1" applyFill="1" applyBorder="1" applyAlignment="1">
      <alignment horizontal="left" vertical="center" shrinkToFit="1"/>
    </xf>
    <xf numFmtId="0" fontId="5" fillId="2" borderId="1" xfId="0" applyFont="1" applyFill="1" applyBorder="1" applyAlignment="1">
      <alignment horizontal="left" vertical="center" shrinkToFit="1"/>
    </xf>
    <xf numFmtId="0" fontId="2" fillId="0" borderId="0" xfId="0" applyFont="1" applyAlignment="1">
      <alignment horizontal="center" vertical="center" shrinkToFit="1"/>
    </xf>
    <xf numFmtId="0" fontId="4" fillId="0" borderId="47"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46" xfId="0" applyFont="1" applyBorder="1" applyAlignment="1">
      <alignment horizontal="center" vertical="center" shrinkToFit="1"/>
    </xf>
    <xf numFmtId="0" fontId="4" fillId="0" borderId="39" xfId="0" applyFont="1" applyBorder="1" applyAlignment="1">
      <alignment horizontal="center" vertical="center" shrinkToFit="1"/>
    </xf>
    <xf numFmtId="0" fontId="4" fillId="0" borderId="40" xfId="0" applyFont="1" applyBorder="1" applyAlignment="1">
      <alignment horizontal="center" vertical="center" shrinkToFit="1"/>
    </xf>
    <xf numFmtId="0" fontId="4" fillId="0" borderId="17"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41" xfId="0" applyFont="1" applyBorder="1" applyAlignment="1">
      <alignment horizontal="center" vertical="center" shrinkToFit="1"/>
    </xf>
    <xf numFmtId="0" fontId="4" fillId="0" borderId="21"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22" xfId="0" applyFont="1" applyBorder="1" applyAlignment="1">
      <alignment horizontal="center" vertical="center" shrinkToFit="1"/>
    </xf>
    <xf numFmtId="0" fontId="5" fillId="2" borderId="39" xfId="0" applyFont="1" applyFill="1" applyBorder="1" applyAlignment="1">
      <alignment horizontal="left" vertical="center" shrinkToFit="1"/>
    </xf>
    <xf numFmtId="0" fontId="5" fillId="2" borderId="41" xfId="0" applyFont="1" applyFill="1" applyBorder="1" applyAlignment="1">
      <alignment horizontal="left" vertical="center" shrinkToFit="1"/>
    </xf>
    <xf numFmtId="0" fontId="4" fillId="0" borderId="31"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0" xfId="0" applyFont="1" applyBorder="1" applyAlignment="1">
      <alignment horizontal="center" vertical="center" shrinkToFit="1"/>
    </xf>
    <xf numFmtId="178" fontId="5" fillId="0" borderId="6" xfId="0" applyNumberFormat="1" applyFont="1" applyBorder="1" applyAlignment="1">
      <alignment vertical="center" shrinkToFit="1"/>
    </xf>
    <xf numFmtId="178" fontId="5" fillId="0" borderId="23" xfId="0" applyNumberFormat="1" applyFont="1" applyBorder="1" applyAlignment="1">
      <alignment vertical="center" shrinkToFit="1"/>
    </xf>
    <xf numFmtId="0" fontId="4" fillId="0" borderId="38" xfId="0" applyFont="1" applyBorder="1" applyAlignment="1">
      <alignment horizontal="center" vertical="center" shrinkToFit="1"/>
    </xf>
    <xf numFmtId="177" fontId="5" fillId="0" borderId="4" xfId="0" applyNumberFormat="1" applyFont="1" applyBorder="1" applyAlignment="1">
      <alignment horizontal="left" vertical="center" shrinkToFit="1"/>
    </xf>
    <xf numFmtId="177" fontId="5" fillId="0" borderId="49" xfId="0" applyNumberFormat="1" applyFont="1" applyBorder="1" applyAlignment="1">
      <alignment horizontal="left" vertical="center" shrinkToFit="1"/>
    </xf>
    <xf numFmtId="0" fontId="5" fillId="0" borderId="63" xfId="0" applyFont="1" applyBorder="1" applyAlignment="1">
      <alignment horizontal="left" vertical="center" shrinkToFit="1"/>
    </xf>
    <xf numFmtId="0" fontId="5" fillId="0" borderId="64" xfId="0" applyFont="1" applyBorder="1" applyAlignment="1">
      <alignment horizontal="left" vertical="center" shrinkToFit="1"/>
    </xf>
    <xf numFmtId="0" fontId="5" fillId="2" borderId="0" xfId="0" applyFont="1" applyFill="1" applyAlignment="1">
      <alignment horizontal="left" vertical="center" shrinkToFit="1"/>
    </xf>
    <xf numFmtId="0" fontId="5" fillId="2" borderId="20" xfId="0" applyFont="1" applyFill="1" applyBorder="1" applyAlignment="1">
      <alignment horizontal="left" vertical="center" shrinkToFit="1"/>
    </xf>
    <xf numFmtId="0" fontId="5" fillId="2" borderId="58" xfId="0" applyFont="1" applyFill="1" applyBorder="1" applyAlignment="1">
      <alignment horizontal="left" vertical="center" shrinkToFit="1"/>
    </xf>
    <xf numFmtId="0" fontId="5" fillId="2" borderId="65" xfId="0" applyFont="1" applyFill="1" applyBorder="1" applyAlignment="1">
      <alignment horizontal="left" vertical="center" shrinkToFit="1"/>
    </xf>
    <xf numFmtId="0" fontId="5" fillId="0" borderId="61" xfId="0" applyFont="1" applyBorder="1" applyAlignment="1">
      <alignment horizontal="center" vertical="center" shrinkToFit="1"/>
    </xf>
    <xf numFmtId="0" fontId="3" fillId="0" borderId="8" xfId="0" applyFont="1" applyBorder="1" applyAlignment="1">
      <alignment horizontal="center" vertical="center" shrinkToFit="1"/>
    </xf>
    <xf numFmtId="0" fontId="3" fillId="0" borderId="9" xfId="0" applyFont="1" applyBorder="1" applyAlignment="1">
      <alignment horizontal="center" vertical="center" shrinkToFit="1"/>
    </xf>
    <xf numFmtId="0" fontId="5" fillId="0" borderId="7" xfId="0" applyFont="1" applyBorder="1" applyAlignment="1">
      <alignment horizontal="left" vertical="center" shrinkToFit="1"/>
    </xf>
    <xf numFmtId="0" fontId="5" fillId="0" borderId="51" xfId="0" applyFont="1" applyBorder="1" applyAlignment="1">
      <alignment horizontal="left" vertical="center" shrinkToFit="1"/>
    </xf>
    <xf numFmtId="0" fontId="5" fillId="0" borderId="4" xfId="0" applyFont="1" applyBorder="1" applyAlignment="1">
      <alignment horizontal="left" vertical="center" shrinkToFit="1"/>
    </xf>
    <xf numFmtId="0" fontId="5" fillId="0" borderId="49"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2" xfId="0" applyFont="1" applyBorder="1" applyAlignment="1">
      <alignment horizontal="left" vertical="center" shrinkToFit="1"/>
    </xf>
    <xf numFmtId="0" fontId="7" fillId="0" borderId="0" xfId="0" applyFont="1" applyAlignment="1">
      <alignment horizontal="left" vertical="center" shrinkToFit="1"/>
    </xf>
    <xf numFmtId="0" fontId="7" fillId="0" borderId="20"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49" xfId="0" applyFont="1" applyBorder="1" applyAlignment="1">
      <alignment horizontal="left" vertical="center" shrinkToFit="1"/>
    </xf>
    <xf numFmtId="0" fontId="7" fillId="0" borderId="27" xfId="0" applyFont="1" applyBorder="1" applyAlignment="1">
      <alignment horizontal="left" vertical="center" shrinkToFit="1"/>
    </xf>
    <xf numFmtId="0" fontId="7" fillId="0" borderId="29" xfId="0" applyFont="1" applyBorder="1" applyAlignment="1">
      <alignment horizontal="left" vertical="center" shrinkToFit="1"/>
    </xf>
    <xf numFmtId="0" fontId="8" fillId="0" borderId="14" xfId="0" applyFont="1" applyBorder="1" applyAlignment="1">
      <alignment horizontal="center" vertical="center" shrinkToFit="1"/>
    </xf>
    <xf numFmtId="0" fontId="8" fillId="0" borderId="15" xfId="0" applyFont="1" applyBorder="1" applyAlignment="1">
      <alignment horizontal="center" vertical="center" shrinkToFit="1"/>
    </xf>
    <xf numFmtId="0" fontId="8" fillId="0" borderId="17"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3" fillId="0" borderId="7" xfId="0" applyFont="1" applyBorder="1" applyAlignment="1">
      <alignment horizontal="center" vertical="center" shrinkToFit="1"/>
    </xf>
    <xf numFmtId="0" fontId="3" fillId="0" borderId="6" xfId="0" applyFont="1" applyBorder="1" applyAlignment="1">
      <alignment horizontal="center" vertical="center" shrinkToFit="1"/>
    </xf>
    <xf numFmtId="0" fontId="3" fillId="0" borderId="23" xfId="0" applyFont="1" applyBorder="1" applyAlignment="1">
      <alignment horizontal="center" vertical="center" shrinkToFit="1"/>
    </xf>
    <xf numFmtId="0" fontId="5" fillId="0" borderId="33" xfId="0" applyFont="1" applyBorder="1" applyAlignment="1">
      <alignment horizontal="left" vertical="center" shrinkToFit="1"/>
    </xf>
    <xf numFmtId="0" fontId="5" fillId="0" borderId="34" xfId="0" applyFont="1" applyBorder="1" applyAlignment="1">
      <alignment horizontal="left" vertical="center" shrinkToFit="1"/>
    </xf>
    <xf numFmtId="0" fontId="5" fillId="0" borderId="31" xfId="0" applyFont="1" applyBorder="1" applyAlignment="1">
      <alignment vertical="center" shrinkToFit="1"/>
    </xf>
    <xf numFmtId="0" fontId="5" fillId="0" borderId="15" xfId="0" applyFont="1" applyBorder="1" applyAlignment="1">
      <alignment vertical="center" shrinkToFit="1"/>
    </xf>
    <xf numFmtId="0" fontId="5" fillId="0" borderId="17" xfId="0" applyFont="1" applyBorder="1" applyAlignment="1">
      <alignment vertical="center" shrinkToFit="1"/>
    </xf>
    <xf numFmtId="0" fontId="5" fillId="0" borderId="2" xfId="0" applyFont="1" applyBorder="1" applyAlignment="1">
      <alignment vertical="center" shrinkToFit="1"/>
    </xf>
    <xf numFmtId="180" fontId="5" fillId="0" borderId="7" xfId="0" applyNumberFormat="1" applyFont="1" applyBorder="1" applyAlignment="1">
      <alignment vertical="center" shrinkToFit="1"/>
    </xf>
    <xf numFmtId="180" fontId="5" fillId="0" borderId="6" xfId="0" applyNumberFormat="1" applyFont="1" applyBorder="1" applyAlignment="1">
      <alignment vertical="center" shrinkToFit="1"/>
    </xf>
    <xf numFmtId="180" fontId="5" fillId="0" borderId="1" xfId="0" applyNumberFormat="1" applyFont="1" applyBorder="1" applyAlignment="1">
      <alignment vertical="center" shrinkToFit="1"/>
    </xf>
    <xf numFmtId="180" fontId="5" fillId="0" borderId="22" xfId="0" applyNumberFormat="1" applyFont="1" applyBorder="1" applyAlignment="1">
      <alignment vertical="center" shrinkToFit="1"/>
    </xf>
    <xf numFmtId="0" fontId="5" fillId="0" borderId="10"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39" xfId="0" applyFont="1" applyBorder="1" applyAlignment="1">
      <alignment horizontal="left" vertical="center"/>
    </xf>
    <xf numFmtId="0" fontId="5" fillId="0" borderId="40" xfId="0" applyFont="1" applyBorder="1" applyAlignment="1">
      <alignment horizontal="center" vertical="center" shrinkToFit="1"/>
    </xf>
    <xf numFmtId="0" fontId="5" fillId="0" borderId="38" xfId="0" applyFont="1" applyBorder="1" applyAlignment="1">
      <alignment horizontal="left" vertical="center" shrinkToFit="1"/>
    </xf>
    <xf numFmtId="0" fontId="5" fillId="0" borderId="40" xfId="0" applyFont="1" applyBorder="1" applyAlignment="1">
      <alignment horizontal="left" vertical="center" shrinkToFit="1"/>
    </xf>
    <xf numFmtId="0" fontId="3" fillId="0" borderId="10" xfId="0" applyFont="1" applyBorder="1" applyAlignment="1">
      <alignment horizontal="center" vertical="center" shrinkToFit="1"/>
    </xf>
    <xf numFmtId="0" fontId="19" fillId="0" borderId="2" xfId="2" applyFont="1" applyBorder="1" applyAlignment="1">
      <alignment horizontal="center" vertical="center" wrapText="1" shrinkToFit="1"/>
    </xf>
    <xf numFmtId="0" fontId="19" fillId="0" borderId="1" xfId="2" applyFont="1" applyBorder="1" applyAlignment="1">
      <alignment horizontal="center" vertical="center" wrapText="1" shrinkToFit="1"/>
    </xf>
    <xf numFmtId="0" fontId="19" fillId="0" borderId="55" xfId="2" applyFont="1" applyBorder="1" applyAlignment="1">
      <alignment horizontal="center" vertical="center" wrapText="1" shrinkToFit="1"/>
    </xf>
    <xf numFmtId="0" fontId="19" fillId="0" borderId="54" xfId="2" applyFont="1" applyBorder="1" applyAlignment="1">
      <alignment horizontal="center" vertical="center" wrapText="1" shrinkToFit="1"/>
    </xf>
    <xf numFmtId="0" fontId="19" fillId="0" borderId="53" xfId="2" applyFont="1" applyBorder="1" applyAlignment="1">
      <alignment horizontal="center" vertical="center" wrapText="1" shrinkToFit="1"/>
    </xf>
    <xf numFmtId="0" fontId="19" fillId="0" borderId="52" xfId="2" applyFont="1" applyBorder="1" applyAlignment="1">
      <alignment horizontal="center" vertical="center" wrapText="1" shrinkToFit="1"/>
    </xf>
    <xf numFmtId="0" fontId="18" fillId="0" borderId="2" xfId="2" applyFont="1" applyBorder="1" applyAlignment="1">
      <alignment horizontal="left" vertical="top"/>
    </xf>
    <xf numFmtId="0" fontId="18" fillId="0" borderId="1" xfId="2" applyFont="1" applyBorder="1" applyAlignment="1">
      <alignment horizontal="left" vertical="top"/>
    </xf>
    <xf numFmtId="0" fontId="18" fillId="0" borderId="3" xfId="2" applyFont="1" applyBorder="1" applyAlignment="1">
      <alignment horizontal="left" vertical="top"/>
    </xf>
    <xf numFmtId="0" fontId="18" fillId="0" borderId="2" xfId="2" applyFont="1" applyBorder="1" applyAlignment="1">
      <alignment horizontal="left" vertical="top" shrinkToFit="1"/>
    </xf>
    <xf numFmtId="0" fontId="18" fillId="0" borderId="1" xfId="2" applyFont="1" applyBorder="1" applyAlignment="1">
      <alignment horizontal="left" vertical="top" shrinkToFit="1"/>
    </xf>
    <xf numFmtId="0" fontId="18" fillId="0" borderId="3" xfId="2" applyFont="1" applyBorder="1" applyAlignment="1">
      <alignment horizontal="left" vertical="top" shrinkToFit="1"/>
    </xf>
    <xf numFmtId="0" fontId="12" fillId="0" borderId="50" xfId="2" applyFont="1" applyBorder="1" applyAlignment="1">
      <alignment horizontal="center" vertical="center" wrapText="1"/>
    </xf>
    <xf numFmtId="0" fontId="18" fillId="0" borderId="51" xfId="2" applyFont="1" applyBorder="1" applyAlignment="1">
      <alignment horizontal="left" vertical="top" shrinkToFit="1"/>
    </xf>
    <xf numFmtId="0" fontId="18" fillId="0" borderId="4" xfId="2" applyFont="1" applyBorder="1" applyAlignment="1">
      <alignment horizontal="left" vertical="top" shrinkToFit="1"/>
    </xf>
    <xf numFmtId="0" fontId="18" fillId="0" borderId="5" xfId="2" applyFont="1" applyBorder="1" applyAlignment="1">
      <alignment horizontal="left" vertical="top" shrinkToFit="1"/>
    </xf>
    <xf numFmtId="0" fontId="18" fillId="0" borderId="51" xfId="2" applyFont="1" applyBorder="1" applyAlignment="1">
      <alignment horizontal="center" vertical="top" shrinkToFit="1"/>
    </xf>
    <xf numFmtId="0" fontId="18" fillId="0" borderId="4" xfId="2" applyFont="1" applyBorder="1" applyAlignment="1">
      <alignment horizontal="center" vertical="top" shrinkToFit="1"/>
    </xf>
    <xf numFmtId="0" fontId="18" fillId="0" borderId="5" xfId="2" applyFont="1" applyBorder="1" applyAlignment="1">
      <alignment horizontal="center" vertical="top" shrinkToFit="1"/>
    </xf>
    <xf numFmtId="0" fontId="16" fillId="0" borderId="50" xfId="2" applyFont="1" applyBorder="1" applyAlignment="1">
      <alignment horizontal="center" vertical="center"/>
    </xf>
  </cellXfs>
  <cellStyles count="6">
    <cellStyle name="桁区切り 2" xfId="4" xr:uid="{6FCA4CE1-3677-430A-BDFB-ED4FD26A3236}"/>
    <cellStyle name="標準" xfId="0" builtinId="0"/>
    <cellStyle name="標準 2" xfId="1" xr:uid="{86C80424-4DC4-4B32-90B1-44FD375B083D}"/>
    <cellStyle name="標準 2 2" xfId="5" xr:uid="{0ADC63E8-2859-43BA-84C1-74FE2CDE57F1}"/>
    <cellStyle name="標準 3" xfId="2" xr:uid="{0F655241-E60A-42A8-AFE5-92DBEAE53E66}"/>
    <cellStyle name="標準 4" xfId="3" xr:uid="{D9F14E20-054E-48C5-83F2-FA6949FE3400}"/>
  </cellStyles>
  <dxfs count="28">
    <dxf>
      <fill>
        <patternFill>
          <bgColor rgb="FFFFFF00"/>
        </patternFill>
      </fill>
    </dxf>
    <dxf>
      <font>
        <b val="0"/>
        <i val="0"/>
        <strike val="0"/>
        <condense val="0"/>
        <extend val="0"/>
        <outline val="0"/>
        <shadow val="0"/>
        <u val="none"/>
        <vertAlign val="baseline"/>
        <sz val="11"/>
        <color theme="1"/>
        <name val="メイリオ"/>
        <family val="3"/>
        <charset val="128"/>
        <scheme val="none"/>
      </font>
      <numFmt numFmtId="30" formatCode="@"/>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メイリオ"/>
        <family val="3"/>
        <charset val="128"/>
        <scheme val="none"/>
      </font>
      <protection locked="0" hidden="0"/>
    </dxf>
    <dxf>
      <border outline="0">
        <bottom style="thin">
          <color indexed="64"/>
        </bottom>
      </border>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メイリオ"/>
        <family val="3"/>
        <charset val="128"/>
        <scheme val="none"/>
      </font>
      <alignment horizontal="general" vertical="center" textRotation="0" wrapText="0" indent="0" justifyLastLine="0" shrinkToFit="0" readingOrder="0"/>
      <protection locked="0" hidden="0"/>
    </dxf>
    <dxf>
      <font>
        <strike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protection locked="0" hidden="0"/>
    </dxf>
    <dxf>
      <font>
        <strike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numFmt numFmtId="0" formatCode="General"/>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numFmt numFmtId="176" formatCode="[$]ggge&quot;年&quot;m&quot;月&quot;d&quot;日&quot;;@" x16r2:formatCode16="[$-ja-JP-x-gannen]ggge&quot;年&quot;m&quot;月&quot;d&quot;日&quo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numFmt numFmtId="176" formatCode="[$]ggge&quot;年&quot;m&quot;月&quot;d&quot;日&quot;;@" x16r2:formatCode16="[$-ja-JP-x-gannen]ggge&quot;年&quot;m&quot;月&quot;d&quot;日&quo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メイリオ"/>
        <family val="3"/>
        <charset val="128"/>
        <scheme val="none"/>
      </font>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1"/>
        <color theme="1"/>
        <name val="メイリオ"/>
        <family val="3"/>
        <charset val="128"/>
        <scheme val="none"/>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CheckBox" fmlaLink="$I$9" lockText="1" noThreeD="1"/>
</file>

<file path=xl/ctrlProps/ctrlProp2.xml><?xml version="1.0" encoding="utf-8"?>
<formControlPr xmlns="http://schemas.microsoft.com/office/spreadsheetml/2009/9/main" objectType="CheckBox" fmlaLink="$I$10" lockText="1" noThreeD="1"/>
</file>

<file path=xl/ctrlProps/ctrlProp3.xml><?xml version="1.0" encoding="utf-8"?>
<formControlPr xmlns="http://schemas.microsoft.com/office/spreadsheetml/2009/9/main" objectType="CheckBox" fmlaLink="$I$11" lockText="1" noThreeD="1"/>
</file>

<file path=xl/ctrlProps/ctrlProp4.xml><?xml version="1.0" encoding="utf-8"?>
<formControlPr xmlns="http://schemas.microsoft.com/office/spreadsheetml/2009/9/main" objectType="CheckBox" fmlaLink="$I$12" lockText="1" noThreeD="1"/>
</file>

<file path=xl/ctrlProps/ctrlProp5.xml><?xml version="1.0" encoding="utf-8"?>
<formControlPr xmlns="http://schemas.microsoft.com/office/spreadsheetml/2009/9/main" objectType="CheckBox" fmlaLink="$I$13" lockText="1" noThreeD="1"/>
</file>

<file path=xl/ctrlProps/ctrlProp6.xml><?xml version="1.0" encoding="utf-8"?>
<formControlPr xmlns="http://schemas.microsoft.com/office/spreadsheetml/2009/9/main" objectType="CheckBox" fmlaLink="$I$14" lockText="1" noThreeD="1"/>
</file>

<file path=xl/ctrlProps/ctrlProp7.xml><?xml version="1.0" encoding="utf-8"?>
<formControlPr xmlns="http://schemas.microsoft.com/office/spreadsheetml/2009/9/main" objectType="CheckBox" fmlaLink="$I$15" lockText="1" noThreeD="1"/>
</file>

<file path=xl/ctrlProps/ctrlProp8.xml><?xml version="1.0" encoding="utf-8"?>
<formControlPr xmlns="http://schemas.microsoft.com/office/spreadsheetml/2009/9/main" objectType="CheckBox" fmlaLink="$I$16" lockText="1" noThreeD="1"/>
</file>

<file path=xl/ctrlProps/ctrlProp9.xml><?xml version="1.0" encoding="utf-8"?>
<formControlPr xmlns="http://schemas.microsoft.com/office/spreadsheetml/2009/9/main" objectType="CheckBox" fmlaLink="$I$17" lockText="1" noThreeD="1"/>
</file>

<file path=xl/ctrlProps/ctrlProp10.xml><?xml version="1.0" encoding="utf-8"?>
<formControlPr xmlns="http://schemas.microsoft.com/office/spreadsheetml/2009/9/main" objectType="CheckBox" fmlaLink="$I$18" lockText="1" noThreeD="1"/>
</file>

<file path=xl/ctrlProps/ctrlProp11.xml><?xml version="1.0" encoding="utf-8"?>
<formControlPr xmlns="http://schemas.microsoft.com/office/spreadsheetml/2009/9/main" objectType="CheckBox" fmlaLink="$I$19" lockText="1" noThreeD="1"/>
</file>

<file path=xl/ctrlProps/ctrlProp12.xml><?xml version="1.0" encoding="utf-8"?>
<formControlPr xmlns="http://schemas.microsoft.com/office/spreadsheetml/2009/9/main" objectType="CheckBox" fmlaLink="$I$9" lockText="1" noThreeD="1"/>
</file>

<file path=xl/ctrlProps/ctrlProp13.xml><?xml version="1.0" encoding="utf-8"?>
<formControlPr xmlns="http://schemas.microsoft.com/office/spreadsheetml/2009/9/main" objectType="CheckBox" fmlaLink="$I$10" lockText="1" noThreeD="1"/>
</file>

<file path=xl/ctrlProps/ctrlProp14.xml><?xml version="1.0" encoding="utf-8"?>
<formControlPr xmlns="http://schemas.microsoft.com/office/spreadsheetml/2009/9/main" objectType="CheckBox" fmlaLink="$I$11" lockText="1" noThreeD="1"/>
</file>

<file path=xl/ctrlProps/ctrlProp15.xml><?xml version="1.0" encoding="utf-8"?>
<formControlPr xmlns="http://schemas.microsoft.com/office/spreadsheetml/2009/9/main" objectType="CheckBox" fmlaLink="$I$12" lockText="1" noThreeD="1"/>
</file>

<file path=xl/ctrlProps/ctrlProp16.xml><?xml version="1.0" encoding="utf-8"?>
<formControlPr xmlns="http://schemas.microsoft.com/office/spreadsheetml/2009/9/main" objectType="CheckBox" fmlaLink="$I$13" lockText="1" noThreeD="1"/>
</file>

<file path=xl/ctrlProps/ctrlProp17.xml><?xml version="1.0" encoding="utf-8"?>
<formControlPr xmlns="http://schemas.microsoft.com/office/spreadsheetml/2009/9/main" objectType="CheckBox" fmlaLink="$I$14" lockText="1" noThreeD="1"/>
</file>

<file path=xl/ctrlProps/ctrlProp18.xml><?xml version="1.0" encoding="utf-8"?>
<formControlPr xmlns="http://schemas.microsoft.com/office/spreadsheetml/2009/9/main" objectType="CheckBox" fmlaLink="$I$15" lockText="1" noThreeD="1"/>
</file>

<file path=xl/ctrlProps/ctrlProp19.xml><?xml version="1.0" encoding="utf-8"?>
<formControlPr xmlns="http://schemas.microsoft.com/office/spreadsheetml/2009/9/main" objectType="CheckBox" fmlaLink="$I$16" lockText="1" noThreeD="1"/>
</file>

<file path=xl/ctrlProps/ctrlProp20.xml><?xml version="1.0" encoding="utf-8"?>
<formControlPr xmlns="http://schemas.microsoft.com/office/spreadsheetml/2009/9/main" objectType="CheckBox" fmlaLink="$I$17" lockText="1" noThreeD="1"/>
</file>

<file path=xl/ctrlProps/ctrlProp21.xml><?xml version="1.0" encoding="utf-8"?>
<formControlPr xmlns="http://schemas.microsoft.com/office/spreadsheetml/2009/9/main" objectType="CheckBox" fmlaLink="$I$18" lockText="1" noThreeD="1"/>
</file>

<file path=xl/ctrlProps/ctrlProp22.xml><?xml version="1.0" encoding="utf-8"?>
<formControlPr xmlns="http://schemas.microsoft.com/office/spreadsheetml/2009/9/main" objectType="CheckBox" fmlaLink="$I$19" lockText="1" noThreeD="1"/>
</file>

<file path=xl/ctrlProps/ctrlProp23.xml><?xml version="1.0" encoding="utf-8"?>
<formControlPr xmlns="http://schemas.microsoft.com/office/spreadsheetml/2009/9/main" objectType="CheckBox" fmlaLink="$I$9" lockText="1" noThreeD="1"/>
</file>

<file path=xl/ctrlProps/ctrlProp24.xml><?xml version="1.0" encoding="utf-8"?>
<formControlPr xmlns="http://schemas.microsoft.com/office/spreadsheetml/2009/9/main" objectType="CheckBox" fmlaLink="$I$10" lockText="1" noThreeD="1"/>
</file>

<file path=xl/ctrlProps/ctrlProp25.xml><?xml version="1.0" encoding="utf-8"?>
<formControlPr xmlns="http://schemas.microsoft.com/office/spreadsheetml/2009/9/main" objectType="CheckBox" fmlaLink="$I$11" lockText="1" noThreeD="1"/>
</file>

<file path=xl/ctrlProps/ctrlProp26.xml><?xml version="1.0" encoding="utf-8"?>
<formControlPr xmlns="http://schemas.microsoft.com/office/spreadsheetml/2009/9/main" objectType="CheckBox" fmlaLink="$I$12" lockText="1" noThreeD="1"/>
</file>

<file path=xl/ctrlProps/ctrlProp27.xml><?xml version="1.0" encoding="utf-8"?>
<formControlPr xmlns="http://schemas.microsoft.com/office/spreadsheetml/2009/9/main" objectType="CheckBox" fmlaLink="$I$13" lockText="1" noThreeD="1"/>
</file>

<file path=xl/ctrlProps/ctrlProp28.xml><?xml version="1.0" encoding="utf-8"?>
<formControlPr xmlns="http://schemas.microsoft.com/office/spreadsheetml/2009/9/main" objectType="CheckBox" fmlaLink="$I$14" lockText="1" noThreeD="1"/>
</file>

<file path=xl/ctrlProps/ctrlProp29.xml><?xml version="1.0" encoding="utf-8"?>
<formControlPr xmlns="http://schemas.microsoft.com/office/spreadsheetml/2009/9/main" objectType="CheckBox" fmlaLink="$I$15" lockText="1" noThreeD="1"/>
</file>

<file path=xl/ctrlProps/ctrlProp30.xml><?xml version="1.0" encoding="utf-8"?>
<formControlPr xmlns="http://schemas.microsoft.com/office/spreadsheetml/2009/9/main" objectType="CheckBox" fmlaLink="$I$16" lockText="1" noThreeD="1"/>
</file>

<file path=xl/ctrlProps/ctrlProp31.xml><?xml version="1.0" encoding="utf-8"?>
<formControlPr xmlns="http://schemas.microsoft.com/office/spreadsheetml/2009/9/main" objectType="CheckBox" fmlaLink="$I$17" lockText="1" noThreeD="1"/>
</file>

<file path=xl/ctrlProps/ctrlProp32.xml><?xml version="1.0" encoding="utf-8"?>
<formControlPr xmlns="http://schemas.microsoft.com/office/spreadsheetml/2009/9/main" objectType="CheckBox" fmlaLink="$I$18" lockText="1" noThreeD="1"/>
</file>

<file path=xl/ctrlProps/ctrlProp33.xml><?xml version="1.0" encoding="utf-8"?>
<formControlPr xmlns="http://schemas.microsoft.com/office/spreadsheetml/2009/9/main" objectType="CheckBox" fmlaLink="$I$19" lockText="1" noThreeD="1"/>
</file>

<file path=xl/ctrlProps/ctrlProp34.xml><?xml version="1.0" encoding="utf-8"?>
<formControlPr xmlns="http://schemas.microsoft.com/office/spreadsheetml/2009/9/main" objectType="CheckBox" fmlaLink="$I$9" lockText="1" noThreeD="1"/>
</file>

<file path=xl/ctrlProps/ctrlProp35.xml><?xml version="1.0" encoding="utf-8"?>
<formControlPr xmlns="http://schemas.microsoft.com/office/spreadsheetml/2009/9/main" objectType="CheckBox" fmlaLink="$I$10" lockText="1" noThreeD="1"/>
</file>

<file path=xl/ctrlProps/ctrlProp36.xml><?xml version="1.0" encoding="utf-8"?>
<formControlPr xmlns="http://schemas.microsoft.com/office/spreadsheetml/2009/9/main" objectType="CheckBox" fmlaLink="$I$11" lockText="1" noThreeD="1"/>
</file>

<file path=xl/ctrlProps/ctrlProp37.xml><?xml version="1.0" encoding="utf-8"?>
<formControlPr xmlns="http://schemas.microsoft.com/office/spreadsheetml/2009/9/main" objectType="CheckBox" fmlaLink="$I$12" lockText="1" noThreeD="1"/>
</file>

<file path=xl/ctrlProps/ctrlProp38.xml><?xml version="1.0" encoding="utf-8"?>
<formControlPr xmlns="http://schemas.microsoft.com/office/spreadsheetml/2009/9/main" objectType="CheckBox" fmlaLink="$I$13" lockText="1" noThreeD="1"/>
</file>

<file path=xl/ctrlProps/ctrlProp39.xml><?xml version="1.0" encoding="utf-8"?>
<formControlPr xmlns="http://schemas.microsoft.com/office/spreadsheetml/2009/9/main" objectType="CheckBox" fmlaLink="$I$14" lockText="1" noThreeD="1"/>
</file>

<file path=xl/ctrlProps/ctrlProp40.xml><?xml version="1.0" encoding="utf-8"?>
<formControlPr xmlns="http://schemas.microsoft.com/office/spreadsheetml/2009/9/main" objectType="CheckBox" fmlaLink="$I$15" lockText="1" noThreeD="1"/>
</file>

<file path=xl/ctrlProps/ctrlProp41.xml><?xml version="1.0" encoding="utf-8"?>
<formControlPr xmlns="http://schemas.microsoft.com/office/spreadsheetml/2009/9/main" objectType="CheckBox" fmlaLink="$I$16" lockText="1" noThreeD="1"/>
</file>

<file path=xl/ctrlProps/ctrlProp42.xml><?xml version="1.0" encoding="utf-8"?>
<formControlPr xmlns="http://schemas.microsoft.com/office/spreadsheetml/2009/9/main" objectType="CheckBox" fmlaLink="$I$17" lockText="1" noThreeD="1"/>
</file>

<file path=xl/ctrlProps/ctrlProp43.xml><?xml version="1.0" encoding="utf-8"?>
<formControlPr xmlns="http://schemas.microsoft.com/office/spreadsheetml/2009/9/main" objectType="CheckBox" fmlaLink="$I$18" lockText="1" noThreeD="1"/>
</file>

<file path=xl/ctrlProps/ctrlProp44.xml><?xml version="1.0" encoding="utf-8"?>
<formControlPr xmlns="http://schemas.microsoft.com/office/spreadsheetml/2009/9/main" objectType="CheckBox" fmlaLink="$I$19" lockText="1" noThreeD="1"/>
</file>

<file path=xl/ctrlProps/ctrlProp45.xml><?xml version="1.0" encoding="utf-8"?>
<formControlPr xmlns="http://schemas.microsoft.com/office/spreadsheetml/2009/9/main" objectType="CheckBox" fmlaLink="$I$9" lockText="1" noThreeD="1"/>
</file>

<file path=xl/ctrlProps/ctrlProp46.xml><?xml version="1.0" encoding="utf-8"?>
<formControlPr xmlns="http://schemas.microsoft.com/office/spreadsheetml/2009/9/main" objectType="CheckBox" fmlaLink="$I$10" lockText="1" noThreeD="1"/>
</file>

<file path=xl/ctrlProps/ctrlProp47.xml><?xml version="1.0" encoding="utf-8"?>
<formControlPr xmlns="http://schemas.microsoft.com/office/spreadsheetml/2009/9/main" objectType="CheckBox" fmlaLink="$I$11" lockText="1" noThreeD="1"/>
</file>

<file path=xl/ctrlProps/ctrlProp48.xml><?xml version="1.0" encoding="utf-8"?>
<formControlPr xmlns="http://schemas.microsoft.com/office/spreadsheetml/2009/9/main" objectType="CheckBox" fmlaLink="$I$12" lockText="1" noThreeD="1"/>
</file>

<file path=xl/ctrlProps/ctrlProp49.xml><?xml version="1.0" encoding="utf-8"?>
<formControlPr xmlns="http://schemas.microsoft.com/office/spreadsheetml/2009/9/main" objectType="CheckBox" fmlaLink="$I$13" lockText="1" noThreeD="1"/>
</file>

<file path=xl/ctrlProps/ctrlProp50.xml><?xml version="1.0" encoding="utf-8"?>
<formControlPr xmlns="http://schemas.microsoft.com/office/spreadsheetml/2009/9/main" objectType="CheckBox" fmlaLink="$I$14" lockText="1" noThreeD="1"/>
</file>

<file path=xl/ctrlProps/ctrlProp51.xml><?xml version="1.0" encoding="utf-8"?>
<formControlPr xmlns="http://schemas.microsoft.com/office/spreadsheetml/2009/9/main" objectType="CheckBox" fmlaLink="$I$15" lockText="1" noThreeD="1"/>
</file>

<file path=xl/ctrlProps/ctrlProp52.xml><?xml version="1.0" encoding="utf-8"?>
<formControlPr xmlns="http://schemas.microsoft.com/office/spreadsheetml/2009/9/main" objectType="CheckBox" fmlaLink="$I$16" lockText="1" noThreeD="1"/>
</file>

<file path=xl/ctrlProps/ctrlProp53.xml><?xml version="1.0" encoding="utf-8"?>
<formControlPr xmlns="http://schemas.microsoft.com/office/spreadsheetml/2009/9/main" objectType="CheckBox" fmlaLink="$I$17" lockText="1" noThreeD="1"/>
</file>

<file path=xl/ctrlProps/ctrlProp54.xml><?xml version="1.0" encoding="utf-8"?>
<formControlPr xmlns="http://schemas.microsoft.com/office/spreadsheetml/2009/9/main" objectType="CheckBox" fmlaLink="$I$18" lockText="1" noThreeD="1"/>
</file>

<file path=xl/ctrlProps/ctrlProp55.xml><?xml version="1.0" encoding="utf-8"?>
<formControlPr xmlns="http://schemas.microsoft.com/office/spreadsheetml/2009/9/main" objectType="CheckBox" fmlaLink="$I$19" lockText="1" noThreeD="1"/>
</file>

<file path=xl/ctrlProps/ctrlProp56.xml><?xml version="1.0" encoding="utf-8"?>
<formControlPr xmlns="http://schemas.microsoft.com/office/spreadsheetml/2009/9/main" objectType="CheckBox" fmlaLink="$I$9" lockText="1" noThreeD="1"/>
</file>

<file path=xl/ctrlProps/ctrlProp57.xml><?xml version="1.0" encoding="utf-8"?>
<formControlPr xmlns="http://schemas.microsoft.com/office/spreadsheetml/2009/9/main" objectType="CheckBox" fmlaLink="$I$10" lockText="1" noThreeD="1"/>
</file>

<file path=xl/ctrlProps/ctrlProp58.xml><?xml version="1.0" encoding="utf-8"?>
<formControlPr xmlns="http://schemas.microsoft.com/office/spreadsheetml/2009/9/main" objectType="CheckBox" fmlaLink="$I$11" lockText="1" noThreeD="1"/>
</file>

<file path=xl/ctrlProps/ctrlProp59.xml><?xml version="1.0" encoding="utf-8"?>
<formControlPr xmlns="http://schemas.microsoft.com/office/spreadsheetml/2009/9/main" objectType="CheckBox" fmlaLink="$I$12" lockText="1" noThreeD="1"/>
</file>

<file path=xl/ctrlProps/ctrlProp60.xml><?xml version="1.0" encoding="utf-8"?>
<formControlPr xmlns="http://schemas.microsoft.com/office/spreadsheetml/2009/9/main" objectType="CheckBox" fmlaLink="$I$13" lockText="1" noThreeD="1"/>
</file>

<file path=xl/ctrlProps/ctrlProp61.xml><?xml version="1.0" encoding="utf-8"?>
<formControlPr xmlns="http://schemas.microsoft.com/office/spreadsheetml/2009/9/main" objectType="CheckBox" fmlaLink="$I$14" lockText="1" noThreeD="1"/>
</file>

<file path=xl/ctrlProps/ctrlProp62.xml><?xml version="1.0" encoding="utf-8"?>
<formControlPr xmlns="http://schemas.microsoft.com/office/spreadsheetml/2009/9/main" objectType="CheckBox" fmlaLink="$I$15" lockText="1" noThreeD="1"/>
</file>

<file path=xl/ctrlProps/ctrlProp63.xml><?xml version="1.0" encoding="utf-8"?>
<formControlPr xmlns="http://schemas.microsoft.com/office/spreadsheetml/2009/9/main" objectType="CheckBox" fmlaLink="$I$16" lockText="1" noThreeD="1"/>
</file>

<file path=xl/ctrlProps/ctrlProp64.xml><?xml version="1.0" encoding="utf-8"?>
<formControlPr xmlns="http://schemas.microsoft.com/office/spreadsheetml/2009/9/main" objectType="CheckBox" fmlaLink="$I$17" lockText="1" noThreeD="1"/>
</file>

<file path=xl/ctrlProps/ctrlProp65.xml><?xml version="1.0" encoding="utf-8"?>
<formControlPr xmlns="http://schemas.microsoft.com/office/spreadsheetml/2009/9/main" objectType="CheckBox" fmlaLink="$I$18" lockText="1" noThreeD="1"/>
</file>

<file path=xl/ctrlProps/ctrlProp66.xml><?xml version="1.0" encoding="utf-8"?>
<formControlPr xmlns="http://schemas.microsoft.com/office/spreadsheetml/2009/9/main" objectType="CheckBox" fmlaLink="$I$19" lockText="1" noThreeD="1"/>
</file>

<file path=xl/ctrlProps/ctrlProp67.xml><?xml version="1.0" encoding="utf-8"?>
<formControlPr xmlns="http://schemas.microsoft.com/office/spreadsheetml/2009/9/main" objectType="CheckBox" fmlaLink="$I$9" lockText="1" noThreeD="1"/>
</file>

<file path=xl/ctrlProps/ctrlProp68.xml><?xml version="1.0" encoding="utf-8"?>
<formControlPr xmlns="http://schemas.microsoft.com/office/spreadsheetml/2009/9/main" objectType="CheckBox" fmlaLink="$I$10" lockText="1" noThreeD="1"/>
</file>

<file path=xl/ctrlProps/ctrlProp69.xml><?xml version="1.0" encoding="utf-8"?>
<formControlPr xmlns="http://schemas.microsoft.com/office/spreadsheetml/2009/9/main" objectType="CheckBox" fmlaLink="$I$11" lockText="1" noThreeD="1"/>
</file>

<file path=xl/ctrlProps/ctrlProp70.xml><?xml version="1.0" encoding="utf-8"?>
<formControlPr xmlns="http://schemas.microsoft.com/office/spreadsheetml/2009/9/main" objectType="CheckBox" fmlaLink="$I$12" lockText="1" noThreeD="1"/>
</file>

<file path=xl/ctrlProps/ctrlProp71.xml><?xml version="1.0" encoding="utf-8"?>
<formControlPr xmlns="http://schemas.microsoft.com/office/spreadsheetml/2009/9/main" objectType="CheckBox" fmlaLink="$I$13" lockText="1" noThreeD="1"/>
</file>

<file path=xl/ctrlProps/ctrlProp72.xml><?xml version="1.0" encoding="utf-8"?>
<formControlPr xmlns="http://schemas.microsoft.com/office/spreadsheetml/2009/9/main" objectType="CheckBox" fmlaLink="$I$14" lockText="1" noThreeD="1"/>
</file>

<file path=xl/ctrlProps/ctrlProp73.xml><?xml version="1.0" encoding="utf-8"?>
<formControlPr xmlns="http://schemas.microsoft.com/office/spreadsheetml/2009/9/main" objectType="CheckBox" fmlaLink="$I$15" lockText="1" noThreeD="1"/>
</file>

<file path=xl/ctrlProps/ctrlProp74.xml><?xml version="1.0" encoding="utf-8"?>
<formControlPr xmlns="http://schemas.microsoft.com/office/spreadsheetml/2009/9/main" objectType="CheckBox" fmlaLink="$I$16" lockText="1" noThreeD="1"/>
</file>

<file path=xl/ctrlProps/ctrlProp75.xml><?xml version="1.0" encoding="utf-8"?>
<formControlPr xmlns="http://schemas.microsoft.com/office/spreadsheetml/2009/9/main" objectType="CheckBox" fmlaLink="$I$17" lockText="1" noThreeD="1"/>
</file>

<file path=xl/ctrlProps/ctrlProp76.xml><?xml version="1.0" encoding="utf-8"?>
<formControlPr xmlns="http://schemas.microsoft.com/office/spreadsheetml/2009/9/main" objectType="CheckBox" fmlaLink="$I$18" lockText="1" noThreeD="1"/>
</file>

<file path=xl/ctrlProps/ctrlProp77.xml><?xml version="1.0" encoding="utf-8"?>
<formControlPr xmlns="http://schemas.microsoft.com/office/spreadsheetml/2009/9/main" objectType="CheckBox" fmlaLink="$I$19" lockText="1" noThreeD="1"/>
</file>

<file path=xl/ctrlProps/ctrlProp78.xml><?xml version="1.0" encoding="utf-8"?>
<formControlPr xmlns="http://schemas.microsoft.com/office/spreadsheetml/2009/9/main" objectType="CheckBox" fmlaLink="$I$9" lockText="1" noThreeD="1"/>
</file>

<file path=xl/ctrlProps/ctrlProp79.xml><?xml version="1.0" encoding="utf-8"?>
<formControlPr xmlns="http://schemas.microsoft.com/office/spreadsheetml/2009/9/main" objectType="CheckBox" fmlaLink="$I$10" lockText="1" noThreeD="1"/>
</file>

<file path=xl/ctrlProps/ctrlProp80.xml><?xml version="1.0" encoding="utf-8"?>
<formControlPr xmlns="http://schemas.microsoft.com/office/spreadsheetml/2009/9/main" objectType="CheckBox" fmlaLink="$I$11" lockText="1" noThreeD="1"/>
</file>

<file path=xl/ctrlProps/ctrlProp81.xml><?xml version="1.0" encoding="utf-8"?>
<formControlPr xmlns="http://schemas.microsoft.com/office/spreadsheetml/2009/9/main" objectType="CheckBox" fmlaLink="$I$12" lockText="1" noThreeD="1"/>
</file>

<file path=xl/ctrlProps/ctrlProp82.xml><?xml version="1.0" encoding="utf-8"?>
<formControlPr xmlns="http://schemas.microsoft.com/office/spreadsheetml/2009/9/main" objectType="CheckBox" fmlaLink="$I$13" lockText="1" noThreeD="1"/>
</file>

<file path=xl/ctrlProps/ctrlProp83.xml><?xml version="1.0" encoding="utf-8"?>
<formControlPr xmlns="http://schemas.microsoft.com/office/spreadsheetml/2009/9/main" objectType="CheckBox" fmlaLink="$I$14" lockText="1" noThreeD="1"/>
</file>

<file path=xl/ctrlProps/ctrlProp84.xml><?xml version="1.0" encoding="utf-8"?>
<formControlPr xmlns="http://schemas.microsoft.com/office/spreadsheetml/2009/9/main" objectType="CheckBox" fmlaLink="$I$15" lockText="1" noThreeD="1"/>
</file>

<file path=xl/ctrlProps/ctrlProp85.xml><?xml version="1.0" encoding="utf-8"?>
<formControlPr xmlns="http://schemas.microsoft.com/office/spreadsheetml/2009/9/main" objectType="CheckBox" fmlaLink="$I$16" lockText="1" noThreeD="1"/>
</file>

<file path=xl/ctrlProps/ctrlProp86.xml><?xml version="1.0" encoding="utf-8"?>
<formControlPr xmlns="http://schemas.microsoft.com/office/spreadsheetml/2009/9/main" objectType="CheckBox" fmlaLink="$I$17" lockText="1" noThreeD="1"/>
</file>

<file path=xl/ctrlProps/ctrlProp87.xml><?xml version="1.0" encoding="utf-8"?>
<formControlPr xmlns="http://schemas.microsoft.com/office/spreadsheetml/2009/9/main" objectType="CheckBox" fmlaLink="$I$18" lockText="1" noThreeD="1"/>
</file>

<file path=xl/ctrlProps/ctrlProp88.xml><?xml version="1.0" encoding="utf-8"?>
<formControlPr xmlns="http://schemas.microsoft.com/office/spreadsheetml/2009/9/main" objectType="CheckBox" fmlaLink="$I$19" lockText="1" noThreeD="1"/>
</file>

<file path=xl/ctrlProps/ctrlProp89.xml><?xml version="1.0" encoding="utf-8"?>
<formControlPr xmlns="http://schemas.microsoft.com/office/spreadsheetml/2009/9/main" objectType="CheckBox" fmlaLink="$I$9" lockText="1" noThreeD="1"/>
</file>

<file path=xl/ctrlProps/ctrlProp90.xml><?xml version="1.0" encoding="utf-8"?>
<formControlPr xmlns="http://schemas.microsoft.com/office/spreadsheetml/2009/9/main" objectType="CheckBox" fmlaLink="$I$10" lockText="1" noThreeD="1"/>
</file>

<file path=xl/ctrlProps/ctrlProp91.xml><?xml version="1.0" encoding="utf-8"?>
<formControlPr xmlns="http://schemas.microsoft.com/office/spreadsheetml/2009/9/main" objectType="CheckBox" fmlaLink="$I$11" lockText="1" noThreeD="1"/>
</file>

<file path=xl/ctrlProps/ctrlProp92.xml><?xml version="1.0" encoding="utf-8"?>
<formControlPr xmlns="http://schemas.microsoft.com/office/spreadsheetml/2009/9/main" objectType="CheckBox" fmlaLink="$I$12" lockText="1" noThreeD="1"/>
</file>

<file path=xl/ctrlProps/ctrlProp93.xml><?xml version="1.0" encoding="utf-8"?>
<formControlPr xmlns="http://schemas.microsoft.com/office/spreadsheetml/2009/9/main" objectType="CheckBox" fmlaLink="$I$13" lockText="1" noThreeD="1"/>
</file>

<file path=xl/ctrlProps/ctrlProp94.xml><?xml version="1.0" encoding="utf-8"?>
<formControlPr xmlns="http://schemas.microsoft.com/office/spreadsheetml/2009/9/main" objectType="CheckBox" fmlaLink="$I$14" lockText="1" noThreeD="1"/>
</file>

<file path=xl/ctrlProps/ctrlProp95.xml><?xml version="1.0" encoding="utf-8"?>
<formControlPr xmlns="http://schemas.microsoft.com/office/spreadsheetml/2009/9/main" objectType="CheckBox" fmlaLink="$I$15" lockText="1" noThreeD="1"/>
</file>

<file path=xl/ctrlProps/ctrlProp96.xml><?xml version="1.0" encoding="utf-8"?>
<formControlPr xmlns="http://schemas.microsoft.com/office/spreadsheetml/2009/9/main" objectType="CheckBox" fmlaLink="$I$16" lockText="1" noThreeD="1"/>
</file>

<file path=xl/ctrlProps/ctrlProp97.xml><?xml version="1.0" encoding="utf-8"?>
<formControlPr xmlns="http://schemas.microsoft.com/office/spreadsheetml/2009/9/main" objectType="CheckBox" fmlaLink="$I$17" lockText="1" noThreeD="1"/>
</file>

<file path=xl/ctrlProps/ctrlProp98.xml><?xml version="1.0" encoding="utf-8"?>
<formControlPr xmlns="http://schemas.microsoft.com/office/spreadsheetml/2009/9/main" objectType="CheckBox" fmlaLink="$I$18" lockText="1" noThreeD="1"/>
</file>

<file path=xl/ctrlProps/ctrlProp99.xml><?xml version="1.0" encoding="utf-8"?>
<formControlPr xmlns="http://schemas.microsoft.com/office/spreadsheetml/2009/9/main" objectType="CheckBox" fmlaLink="$I$19" lockText="1" noThreeD="1"/>
</file>

<file path=xl/ctrlProps/ctrlProp100.xml><?xml version="1.0" encoding="utf-8"?>
<formControlPr xmlns="http://schemas.microsoft.com/office/spreadsheetml/2009/9/main" objectType="CheckBox" fmlaLink="$I$9" lockText="1" noThreeD="1"/>
</file>

<file path=xl/ctrlProps/ctrlProp101.xml><?xml version="1.0" encoding="utf-8"?>
<formControlPr xmlns="http://schemas.microsoft.com/office/spreadsheetml/2009/9/main" objectType="CheckBox" fmlaLink="$I$10" lockText="1" noThreeD="1"/>
</file>

<file path=xl/ctrlProps/ctrlProp102.xml><?xml version="1.0" encoding="utf-8"?>
<formControlPr xmlns="http://schemas.microsoft.com/office/spreadsheetml/2009/9/main" objectType="CheckBox" fmlaLink="$I$11" lockText="1" noThreeD="1"/>
</file>

<file path=xl/ctrlProps/ctrlProp103.xml><?xml version="1.0" encoding="utf-8"?>
<formControlPr xmlns="http://schemas.microsoft.com/office/spreadsheetml/2009/9/main" objectType="CheckBox" fmlaLink="$I$12" lockText="1" noThreeD="1"/>
</file>

<file path=xl/ctrlProps/ctrlProp104.xml><?xml version="1.0" encoding="utf-8"?>
<formControlPr xmlns="http://schemas.microsoft.com/office/spreadsheetml/2009/9/main" objectType="CheckBox" fmlaLink="$I$13" lockText="1" noThreeD="1"/>
</file>

<file path=xl/ctrlProps/ctrlProp105.xml><?xml version="1.0" encoding="utf-8"?>
<formControlPr xmlns="http://schemas.microsoft.com/office/spreadsheetml/2009/9/main" objectType="CheckBox" fmlaLink="$I$14" lockText="1" noThreeD="1"/>
</file>

<file path=xl/ctrlProps/ctrlProp106.xml><?xml version="1.0" encoding="utf-8"?>
<formControlPr xmlns="http://schemas.microsoft.com/office/spreadsheetml/2009/9/main" objectType="CheckBox" fmlaLink="$I$15" lockText="1" noThreeD="1"/>
</file>

<file path=xl/ctrlProps/ctrlProp107.xml><?xml version="1.0" encoding="utf-8"?>
<formControlPr xmlns="http://schemas.microsoft.com/office/spreadsheetml/2009/9/main" objectType="CheckBox" fmlaLink="$I$16" lockText="1" noThreeD="1"/>
</file>

<file path=xl/ctrlProps/ctrlProp108.xml><?xml version="1.0" encoding="utf-8"?>
<formControlPr xmlns="http://schemas.microsoft.com/office/spreadsheetml/2009/9/main" objectType="CheckBox" fmlaLink="$I$17" lockText="1" noThreeD="1"/>
</file>

<file path=xl/ctrlProps/ctrlProp109.xml><?xml version="1.0" encoding="utf-8"?>
<formControlPr xmlns="http://schemas.microsoft.com/office/spreadsheetml/2009/9/main" objectType="CheckBox" fmlaLink="$I$18" lockText="1" noThreeD="1"/>
</file>

<file path=xl/ctrlProps/ctrlProp110.xml><?xml version="1.0" encoding="utf-8"?>
<formControlPr xmlns="http://schemas.microsoft.com/office/spreadsheetml/2009/9/main" objectType="CheckBox" fmlaLink="$I$19" lockText="1" noThreeD="1"/>
</file>

<file path=xl/ctrlProps/ctrlProp111.xml><?xml version="1.0" encoding="utf-8"?>
<formControlPr xmlns="http://schemas.microsoft.com/office/spreadsheetml/2009/9/main" objectType="CheckBox" fmlaLink="$I$9" lockText="1" noThreeD="1"/>
</file>

<file path=xl/ctrlProps/ctrlProp112.xml><?xml version="1.0" encoding="utf-8"?>
<formControlPr xmlns="http://schemas.microsoft.com/office/spreadsheetml/2009/9/main" objectType="CheckBox" fmlaLink="$I$10" lockText="1" noThreeD="1"/>
</file>

<file path=xl/ctrlProps/ctrlProp113.xml><?xml version="1.0" encoding="utf-8"?>
<formControlPr xmlns="http://schemas.microsoft.com/office/spreadsheetml/2009/9/main" objectType="CheckBox" fmlaLink="$I$11" lockText="1" noThreeD="1"/>
</file>

<file path=xl/ctrlProps/ctrlProp114.xml><?xml version="1.0" encoding="utf-8"?>
<formControlPr xmlns="http://schemas.microsoft.com/office/spreadsheetml/2009/9/main" objectType="CheckBox" fmlaLink="$I$12" lockText="1" noThreeD="1"/>
</file>

<file path=xl/ctrlProps/ctrlProp115.xml><?xml version="1.0" encoding="utf-8"?>
<formControlPr xmlns="http://schemas.microsoft.com/office/spreadsheetml/2009/9/main" objectType="CheckBox" fmlaLink="$I$13" lockText="1" noThreeD="1"/>
</file>

<file path=xl/ctrlProps/ctrlProp116.xml><?xml version="1.0" encoding="utf-8"?>
<formControlPr xmlns="http://schemas.microsoft.com/office/spreadsheetml/2009/9/main" objectType="CheckBox" fmlaLink="$I$14" lockText="1" noThreeD="1"/>
</file>

<file path=xl/ctrlProps/ctrlProp117.xml><?xml version="1.0" encoding="utf-8"?>
<formControlPr xmlns="http://schemas.microsoft.com/office/spreadsheetml/2009/9/main" objectType="CheckBox" fmlaLink="$I$15" lockText="1" noThreeD="1"/>
</file>

<file path=xl/ctrlProps/ctrlProp118.xml><?xml version="1.0" encoding="utf-8"?>
<formControlPr xmlns="http://schemas.microsoft.com/office/spreadsheetml/2009/9/main" objectType="CheckBox" fmlaLink="$I$16" lockText="1" noThreeD="1"/>
</file>

<file path=xl/ctrlProps/ctrlProp119.xml><?xml version="1.0" encoding="utf-8"?>
<formControlPr xmlns="http://schemas.microsoft.com/office/spreadsheetml/2009/9/main" objectType="CheckBox" fmlaLink="$I$17" lockText="1" noThreeD="1"/>
</file>

<file path=xl/ctrlProps/ctrlProp120.xml><?xml version="1.0" encoding="utf-8"?>
<formControlPr xmlns="http://schemas.microsoft.com/office/spreadsheetml/2009/9/main" objectType="CheckBox" fmlaLink="$I$18" lockText="1" noThreeD="1"/>
</file>

<file path=xl/ctrlProps/ctrlProp121.xml><?xml version="1.0" encoding="utf-8"?>
<formControlPr xmlns="http://schemas.microsoft.com/office/spreadsheetml/2009/9/main" objectType="CheckBox" fmlaLink="$I$19" lockText="1" noThreeD="1"/>
</file>

<file path=xl/ctrlProps/ctrlProp122.xml><?xml version="1.0" encoding="utf-8"?>
<formControlPr xmlns="http://schemas.microsoft.com/office/spreadsheetml/2009/9/main" objectType="CheckBox" fmlaLink="$I$9" lockText="1" noThreeD="1"/>
</file>

<file path=xl/ctrlProps/ctrlProp123.xml><?xml version="1.0" encoding="utf-8"?>
<formControlPr xmlns="http://schemas.microsoft.com/office/spreadsheetml/2009/9/main" objectType="CheckBox" fmlaLink="$I$10" lockText="1" noThreeD="1"/>
</file>

<file path=xl/ctrlProps/ctrlProp124.xml><?xml version="1.0" encoding="utf-8"?>
<formControlPr xmlns="http://schemas.microsoft.com/office/spreadsheetml/2009/9/main" objectType="CheckBox" fmlaLink="$I$11" lockText="1" noThreeD="1"/>
</file>

<file path=xl/ctrlProps/ctrlProp125.xml><?xml version="1.0" encoding="utf-8"?>
<formControlPr xmlns="http://schemas.microsoft.com/office/spreadsheetml/2009/9/main" objectType="CheckBox" fmlaLink="$I$12" lockText="1" noThreeD="1"/>
</file>

<file path=xl/ctrlProps/ctrlProp126.xml><?xml version="1.0" encoding="utf-8"?>
<formControlPr xmlns="http://schemas.microsoft.com/office/spreadsheetml/2009/9/main" objectType="CheckBox" fmlaLink="$I$13" lockText="1" noThreeD="1"/>
</file>

<file path=xl/ctrlProps/ctrlProp127.xml><?xml version="1.0" encoding="utf-8"?>
<formControlPr xmlns="http://schemas.microsoft.com/office/spreadsheetml/2009/9/main" objectType="CheckBox" fmlaLink="$I$14" lockText="1" noThreeD="1"/>
</file>

<file path=xl/ctrlProps/ctrlProp128.xml><?xml version="1.0" encoding="utf-8"?>
<formControlPr xmlns="http://schemas.microsoft.com/office/spreadsheetml/2009/9/main" objectType="CheckBox" fmlaLink="$I$15" lockText="1" noThreeD="1"/>
</file>

<file path=xl/ctrlProps/ctrlProp129.xml><?xml version="1.0" encoding="utf-8"?>
<formControlPr xmlns="http://schemas.microsoft.com/office/spreadsheetml/2009/9/main" objectType="CheckBox" fmlaLink="$I$16" lockText="1" noThreeD="1"/>
</file>

<file path=xl/ctrlProps/ctrlProp130.xml><?xml version="1.0" encoding="utf-8"?>
<formControlPr xmlns="http://schemas.microsoft.com/office/spreadsheetml/2009/9/main" objectType="CheckBox" fmlaLink="$I$17" lockText="1" noThreeD="1"/>
</file>

<file path=xl/ctrlProps/ctrlProp131.xml><?xml version="1.0" encoding="utf-8"?>
<formControlPr xmlns="http://schemas.microsoft.com/office/spreadsheetml/2009/9/main" objectType="CheckBox" fmlaLink="$I$18" lockText="1" noThreeD="1"/>
</file>

<file path=xl/ctrlProps/ctrlProp132.xml><?xml version="1.0" encoding="utf-8"?>
<formControlPr xmlns="http://schemas.microsoft.com/office/spreadsheetml/2009/9/main" objectType="CheckBox" fmlaLink="$I$19" lockText="1" noThreeD="1"/>
</file>

<file path=xl/ctrlProps/ctrlProp133.xml><?xml version="1.0" encoding="utf-8"?>
<formControlPr xmlns="http://schemas.microsoft.com/office/spreadsheetml/2009/9/main" objectType="CheckBox" fmlaLink="$I$9" lockText="1" noThreeD="1"/>
</file>

<file path=xl/ctrlProps/ctrlProp134.xml><?xml version="1.0" encoding="utf-8"?>
<formControlPr xmlns="http://schemas.microsoft.com/office/spreadsheetml/2009/9/main" objectType="CheckBox" fmlaLink="$I$10" lockText="1" noThreeD="1"/>
</file>

<file path=xl/ctrlProps/ctrlProp135.xml><?xml version="1.0" encoding="utf-8"?>
<formControlPr xmlns="http://schemas.microsoft.com/office/spreadsheetml/2009/9/main" objectType="CheckBox" fmlaLink="$I$11" lockText="1" noThreeD="1"/>
</file>

<file path=xl/ctrlProps/ctrlProp136.xml><?xml version="1.0" encoding="utf-8"?>
<formControlPr xmlns="http://schemas.microsoft.com/office/spreadsheetml/2009/9/main" objectType="CheckBox" fmlaLink="$I$12" lockText="1" noThreeD="1"/>
</file>

<file path=xl/ctrlProps/ctrlProp137.xml><?xml version="1.0" encoding="utf-8"?>
<formControlPr xmlns="http://schemas.microsoft.com/office/spreadsheetml/2009/9/main" objectType="CheckBox" fmlaLink="$I$13" lockText="1" noThreeD="1"/>
</file>

<file path=xl/ctrlProps/ctrlProp138.xml><?xml version="1.0" encoding="utf-8"?>
<formControlPr xmlns="http://schemas.microsoft.com/office/spreadsheetml/2009/9/main" objectType="CheckBox" fmlaLink="$I$14" lockText="1" noThreeD="1"/>
</file>

<file path=xl/ctrlProps/ctrlProp139.xml><?xml version="1.0" encoding="utf-8"?>
<formControlPr xmlns="http://schemas.microsoft.com/office/spreadsheetml/2009/9/main" objectType="CheckBox" fmlaLink="$I$15" lockText="1" noThreeD="1"/>
</file>

<file path=xl/ctrlProps/ctrlProp140.xml><?xml version="1.0" encoding="utf-8"?>
<formControlPr xmlns="http://schemas.microsoft.com/office/spreadsheetml/2009/9/main" objectType="CheckBox" fmlaLink="$I$16" lockText="1" noThreeD="1"/>
</file>

<file path=xl/ctrlProps/ctrlProp141.xml><?xml version="1.0" encoding="utf-8"?>
<formControlPr xmlns="http://schemas.microsoft.com/office/spreadsheetml/2009/9/main" objectType="CheckBox" fmlaLink="$I$17" lockText="1" noThreeD="1"/>
</file>

<file path=xl/ctrlProps/ctrlProp142.xml><?xml version="1.0" encoding="utf-8"?>
<formControlPr xmlns="http://schemas.microsoft.com/office/spreadsheetml/2009/9/main" objectType="CheckBox" fmlaLink="$I$18" lockText="1" noThreeD="1"/>
</file>

<file path=xl/ctrlProps/ctrlProp143.xml><?xml version="1.0" encoding="utf-8"?>
<formControlPr xmlns="http://schemas.microsoft.com/office/spreadsheetml/2009/9/main" objectType="CheckBox" fmlaLink="$I$19" lockText="1" noThreeD="1"/>
</file>

<file path=xl/ctrlProps/ctrlProp144.xml><?xml version="1.0" encoding="utf-8"?>
<formControlPr xmlns="http://schemas.microsoft.com/office/spreadsheetml/2009/9/main" objectType="Button" lockText="1"/>
</file>

<file path=xl/ctrlProps/ctrlProp145.xml><?xml version="1.0" encoding="utf-8"?>
<formControlPr xmlns="http://schemas.microsoft.com/office/spreadsheetml/2009/9/main" objectType="Button" lockText="1"/>
</file>

<file path=xl/ctrlProps/ctrlProp146.xml><?xml version="1.0" encoding="utf-8"?>
<formControlPr xmlns="http://schemas.microsoft.com/office/spreadsheetml/2009/9/main" objectType="Button" lockText="1"/>
</file>

<file path=xl/ctrlProps/ctrlProp147.xml><?xml version="1.0" encoding="utf-8"?>
<formControlPr xmlns="http://schemas.microsoft.com/office/spreadsheetml/2009/9/main" objectType="CheckBox" fmlaLink="$I$9" lockText="1" noThreeD="1"/>
</file>

<file path=xl/ctrlProps/ctrlProp148.xml><?xml version="1.0" encoding="utf-8"?>
<formControlPr xmlns="http://schemas.microsoft.com/office/spreadsheetml/2009/9/main" objectType="CheckBox" fmlaLink="$I$10" lockText="1" noThreeD="1"/>
</file>

<file path=xl/ctrlProps/ctrlProp149.xml><?xml version="1.0" encoding="utf-8"?>
<formControlPr xmlns="http://schemas.microsoft.com/office/spreadsheetml/2009/9/main" objectType="CheckBox" fmlaLink="$I$11" lockText="1" noThreeD="1"/>
</file>

<file path=xl/ctrlProps/ctrlProp150.xml><?xml version="1.0" encoding="utf-8"?>
<formControlPr xmlns="http://schemas.microsoft.com/office/spreadsheetml/2009/9/main" objectType="CheckBox" fmlaLink="$I$12" lockText="1" noThreeD="1"/>
</file>

<file path=xl/ctrlProps/ctrlProp151.xml><?xml version="1.0" encoding="utf-8"?>
<formControlPr xmlns="http://schemas.microsoft.com/office/spreadsheetml/2009/9/main" objectType="CheckBox" fmlaLink="$I$13" lockText="1" noThreeD="1"/>
</file>

<file path=xl/ctrlProps/ctrlProp152.xml><?xml version="1.0" encoding="utf-8"?>
<formControlPr xmlns="http://schemas.microsoft.com/office/spreadsheetml/2009/9/main" objectType="CheckBox" fmlaLink="$I$14" lockText="1" noThreeD="1"/>
</file>

<file path=xl/ctrlProps/ctrlProp153.xml><?xml version="1.0" encoding="utf-8"?>
<formControlPr xmlns="http://schemas.microsoft.com/office/spreadsheetml/2009/9/main" objectType="CheckBox" fmlaLink="$I$15" lockText="1" noThreeD="1"/>
</file>

<file path=xl/ctrlProps/ctrlProp154.xml><?xml version="1.0" encoding="utf-8"?>
<formControlPr xmlns="http://schemas.microsoft.com/office/spreadsheetml/2009/9/main" objectType="CheckBox" fmlaLink="$I$16" lockText="1" noThreeD="1"/>
</file>

<file path=xl/ctrlProps/ctrlProp155.xml><?xml version="1.0" encoding="utf-8"?>
<formControlPr xmlns="http://schemas.microsoft.com/office/spreadsheetml/2009/9/main" objectType="CheckBox" fmlaLink="$I$17" lockText="1" noThreeD="1"/>
</file>

<file path=xl/ctrlProps/ctrlProp156.xml><?xml version="1.0" encoding="utf-8"?>
<formControlPr xmlns="http://schemas.microsoft.com/office/spreadsheetml/2009/9/main" objectType="CheckBox" fmlaLink="$I$18" lockText="1" noThreeD="1"/>
</file>

<file path=xl/ctrlProps/ctrlProp157.xml><?xml version="1.0" encoding="utf-8"?>
<formControlPr xmlns="http://schemas.microsoft.com/office/spreadsheetml/2009/9/main" objectType="CheckBox" fmlaLink="$I$19" lockText="1" noThreeD="1"/>
</file>

<file path=xl/ctrlProps/ctrlProp158.xml><?xml version="1.0" encoding="utf-8"?>
<formControlPr xmlns="http://schemas.microsoft.com/office/spreadsheetml/2009/9/main" objectType="CheckBox" fmlaLink="$I$9" lockText="1" noThreeD="1"/>
</file>

<file path=xl/ctrlProps/ctrlProp159.xml><?xml version="1.0" encoding="utf-8"?>
<formControlPr xmlns="http://schemas.microsoft.com/office/spreadsheetml/2009/9/main" objectType="CheckBox" fmlaLink="$I$10" lockText="1" noThreeD="1"/>
</file>

<file path=xl/ctrlProps/ctrlProp160.xml><?xml version="1.0" encoding="utf-8"?>
<formControlPr xmlns="http://schemas.microsoft.com/office/spreadsheetml/2009/9/main" objectType="CheckBox" fmlaLink="$I$11" lockText="1" noThreeD="1"/>
</file>

<file path=xl/ctrlProps/ctrlProp161.xml><?xml version="1.0" encoding="utf-8"?>
<formControlPr xmlns="http://schemas.microsoft.com/office/spreadsheetml/2009/9/main" objectType="CheckBox" fmlaLink="$I$12" lockText="1" noThreeD="1"/>
</file>

<file path=xl/ctrlProps/ctrlProp162.xml><?xml version="1.0" encoding="utf-8"?>
<formControlPr xmlns="http://schemas.microsoft.com/office/spreadsheetml/2009/9/main" objectType="CheckBox" fmlaLink="$I$13" lockText="1" noThreeD="1"/>
</file>

<file path=xl/ctrlProps/ctrlProp163.xml><?xml version="1.0" encoding="utf-8"?>
<formControlPr xmlns="http://schemas.microsoft.com/office/spreadsheetml/2009/9/main" objectType="CheckBox" fmlaLink="$I$14" lockText="1" noThreeD="1"/>
</file>

<file path=xl/ctrlProps/ctrlProp164.xml><?xml version="1.0" encoding="utf-8"?>
<formControlPr xmlns="http://schemas.microsoft.com/office/spreadsheetml/2009/9/main" objectType="CheckBox" fmlaLink="$I$15" lockText="1" noThreeD="1"/>
</file>

<file path=xl/ctrlProps/ctrlProp165.xml><?xml version="1.0" encoding="utf-8"?>
<formControlPr xmlns="http://schemas.microsoft.com/office/spreadsheetml/2009/9/main" objectType="CheckBox" fmlaLink="$I$16" lockText="1" noThreeD="1"/>
</file>

<file path=xl/ctrlProps/ctrlProp166.xml><?xml version="1.0" encoding="utf-8"?>
<formControlPr xmlns="http://schemas.microsoft.com/office/spreadsheetml/2009/9/main" objectType="CheckBox" fmlaLink="$I$17" lockText="1" noThreeD="1"/>
</file>

<file path=xl/ctrlProps/ctrlProp167.xml><?xml version="1.0" encoding="utf-8"?>
<formControlPr xmlns="http://schemas.microsoft.com/office/spreadsheetml/2009/9/main" objectType="CheckBox" fmlaLink="$I$18" lockText="1" noThreeD="1"/>
</file>

<file path=xl/ctrlProps/ctrlProp168.xml><?xml version="1.0" encoding="utf-8"?>
<formControlPr xmlns="http://schemas.microsoft.com/office/spreadsheetml/2009/9/main" objectType="CheckBox" fmlaLink="$I$19" lockText="1" noThreeD="1"/>
</file>

<file path=xl/ctrlProps/ctrlProp169.xml><?xml version="1.0" encoding="utf-8"?>
<formControlPr xmlns="http://schemas.microsoft.com/office/spreadsheetml/2009/9/main" objectType="CheckBox" fmlaLink="$I$9" lockText="1" noThreeD="1"/>
</file>

<file path=xl/ctrlProps/ctrlProp170.xml><?xml version="1.0" encoding="utf-8"?>
<formControlPr xmlns="http://schemas.microsoft.com/office/spreadsheetml/2009/9/main" objectType="CheckBox" fmlaLink="$I$10" lockText="1" noThreeD="1"/>
</file>

<file path=xl/ctrlProps/ctrlProp171.xml><?xml version="1.0" encoding="utf-8"?>
<formControlPr xmlns="http://schemas.microsoft.com/office/spreadsheetml/2009/9/main" objectType="CheckBox" fmlaLink="$I$11" lockText="1" noThreeD="1"/>
</file>

<file path=xl/ctrlProps/ctrlProp172.xml><?xml version="1.0" encoding="utf-8"?>
<formControlPr xmlns="http://schemas.microsoft.com/office/spreadsheetml/2009/9/main" objectType="CheckBox" fmlaLink="$I$12" lockText="1" noThreeD="1"/>
</file>

<file path=xl/ctrlProps/ctrlProp173.xml><?xml version="1.0" encoding="utf-8"?>
<formControlPr xmlns="http://schemas.microsoft.com/office/spreadsheetml/2009/9/main" objectType="CheckBox" fmlaLink="$I$13" lockText="1" noThreeD="1"/>
</file>

<file path=xl/ctrlProps/ctrlProp174.xml><?xml version="1.0" encoding="utf-8"?>
<formControlPr xmlns="http://schemas.microsoft.com/office/spreadsheetml/2009/9/main" objectType="CheckBox" fmlaLink="$I$14" lockText="1" noThreeD="1"/>
</file>

<file path=xl/ctrlProps/ctrlProp175.xml><?xml version="1.0" encoding="utf-8"?>
<formControlPr xmlns="http://schemas.microsoft.com/office/spreadsheetml/2009/9/main" objectType="CheckBox" fmlaLink="$I$15" lockText="1" noThreeD="1"/>
</file>

<file path=xl/ctrlProps/ctrlProp176.xml><?xml version="1.0" encoding="utf-8"?>
<formControlPr xmlns="http://schemas.microsoft.com/office/spreadsheetml/2009/9/main" objectType="CheckBox" fmlaLink="$I$16" lockText="1" noThreeD="1"/>
</file>

<file path=xl/ctrlProps/ctrlProp177.xml><?xml version="1.0" encoding="utf-8"?>
<formControlPr xmlns="http://schemas.microsoft.com/office/spreadsheetml/2009/9/main" objectType="CheckBox" fmlaLink="$I$17" lockText="1" noThreeD="1"/>
</file>

<file path=xl/ctrlProps/ctrlProp178.xml><?xml version="1.0" encoding="utf-8"?>
<formControlPr xmlns="http://schemas.microsoft.com/office/spreadsheetml/2009/9/main" objectType="CheckBox" fmlaLink="$I$18" lockText="1" noThreeD="1"/>
</file>

<file path=xl/ctrlProps/ctrlProp179.xml><?xml version="1.0" encoding="utf-8"?>
<formControlPr xmlns="http://schemas.microsoft.com/office/spreadsheetml/2009/9/main" objectType="CheckBox" fmlaLink="$I$19" lockText="1" noThreeD="1"/>
</file>

<file path=xl/ctrlProps/ctrlProp180.xml><?xml version="1.0" encoding="utf-8"?>
<formControlPr xmlns="http://schemas.microsoft.com/office/spreadsheetml/2009/9/main" objectType="CheckBox" fmlaLink="$I$9" lockText="1" noThreeD="1"/>
</file>

<file path=xl/ctrlProps/ctrlProp181.xml><?xml version="1.0" encoding="utf-8"?>
<formControlPr xmlns="http://schemas.microsoft.com/office/spreadsheetml/2009/9/main" objectType="CheckBox" fmlaLink="$I$10" lockText="1" noThreeD="1"/>
</file>

<file path=xl/ctrlProps/ctrlProp182.xml><?xml version="1.0" encoding="utf-8"?>
<formControlPr xmlns="http://schemas.microsoft.com/office/spreadsheetml/2009/9/main" objectType="CheckBox" fmlaLink="$I$11" lockText="1" noThreeD="1"/>
</file>

<file path=xl/ctrlProps/ctrlProp183.xml><?xml version="1.0" encoding="utf-8"?>
<formControlPr xmlns="http://schemas.microsoft.com/office/spreadsheetml/2009/9/main" objectType="CheckBox" fmlaLink="$I$12" lockText="1" noThreeD="1"/>
</file>

<file path=xl/ctrlProps/ctrlProp184.xml><?xml version="1.0" encoding="utf-8"?>
<formControlPr xmlns="http://schemas.microsoft.com/office/spreadsheetml/2009/9/main" objectType="CheckBox" fmlaLink="$I$13" lockText="1" noThreeD="1"/>
</file>

<file path=xl/ctrlProps/ctrlProp185.xml><?xml version="1.0" encoding="utf-8"?>
<formControlPr xmlns="http://schemas.microsoft.com/office/spreadsheetml/2009/9/main" objectType="CheckBox" fmlaLink="$I$14" lockText="1" noThreeD="1"/>
</file>

<file path=xl/ctrlProps/ctrlProp186.xml><?xml version="1.0" encoding="utf-8"?>
<formControlPr xmlns="http://schemas.microsoft.com/office/spreadsheetml/2009/9/main" objectType="CheckBox" fmlaLink="$I$15" lockText="1" noThreeD="1"/>
</file>

<file path=xl/ctrlProps/ctrlProp187.xml><?xml version="1.0" encoding="utf-8"?>
<formControlPr xmlns="http://schemas.microsoft.com/office/spreadsheetml/2009/9/main" objectType="CheckBox" fmlaLink="$I$16" lockText="1" noThreeD="1"/>
</file>

<file path=xl/ctrlProps/ctrlProp188.xml><?xml version="1.0" encoding="utf-8"?>
<formControlPr xmlns="http://schemas.microsoft.com/office/spreadsheetml/2009/9/main" objectType="CheckBox" fmlaLink="$I$17" lockText="1" noThreeD="1"/>
</file>

<file path=xl/ctrlProps/ctrlProp189.xml><?xml version="1.0" encoding="utf-8"?>
<formControlPr xmlns="http://schemas.microsoft.com/office/spreadsheetml/2009/9/main" objectType="CheckBox" fmlaLink="$I$18" lockText="1" noThreeD="1"/>
</file>

<file path=xl/ctrlProps/ctrlProp190.xml><?xml version="1.0" encoding="utf-8"?>
<formControlPr xmlns="http://schemas.microsoft.com/office/spreadsheetml/2009/9/main" objectType="CheckBox" fmlaLink="$I$19" lockText="1" noThreeD="1"/>
</file>

<file path=xl/ctrlProps/ctrlProp191.xml><?xml version="1.0" encoding="utf-8"?>
<formControlPr xmlns="http://schemas.microsoft.com/office/spreadsheetml/2009/9/main" objectType="CheckBox" fmlaLink="$I$9" lockText="1" noThreeD="1"/>
</file>

<file path=xl/ctrlProps/ctrlProp192.xml><?xml version="1.0" encoding="utf-8"?>
<formControlPr xmlns="http://schemas.microsoft.com/office/spreadsheetml/2009/9/main" objectType="CheckBox" fmlaLink="$I$10" lockText="1" noThreeD="1"/>
</file>

<file path=xl/ctrlProps/ctrlProp193.xml><?xml version="1.0" encoding="utf-8"?>
<formControlPr xmlns="http://schemas.microsoft.com/office/spreadsheetml/2009/9/main" objectType="CheckBox" fmlaLink="$I$11" lockText="1" noThreeD="1"/>
</file>

<file path=xl/ctrlProps/ctrlProp194.xml><?xml version="1.0" encoding="utf-8"?>
<formControlPr xmlns="http://schemas.microsoft.com/office/spreadsheetml/2009/9/main" objectType="CheckBox" fmlaLink="$I$12" lockText="1" noThreeD="1"/>
</file>

<file path=xl/ctrlProps/ctrlProp195.xml><?xml version="1.0" encoding="utf-8"?>
<formControlPr xmlns="http://schemas.microsoft.com/office/spreadsheetml/2009/9/main" objectType="CheckBox" fmlaLink="$I$13" lockText="1" noThreeD="1"/>
</file>

<file path=xl/ctrlProps/ctrlProp196.xml><?xml version="1.0" encoding="utf-8"?>
<formControlPr xmlns="http://schemas.microsoft.com/office/spreadsheetml/2009/9/main" objectType="CheckBox" fmlaLink="$I$14" lockText="1" noThreeD="1"/>
</file>

<file path=xl/ctrlProps/ctrlProp197.xml><?xml version="1.0" encoding="utf-8"?>
<formControlPr xmlns="http://schemas.microsoft.com/office/spreadsheetml/2009/9/main" objectType="CheckBox" fmlaLink="$I$15" lockText="1" noThreeD="1"/>
</file>

<file path=xl/ctrlProps/ctrlProp198.xml><?xml version="1.0" encoding="utf-8"?>
<formControlPr xmlns="http://schemas.microsoft.com/office/spreadsheetml/2009/9/main" objectType="CheckBox" fmlaLink="$I$16" lockText="1" noThreeD="1"/>
</file>

<file path=xl/ctrlProps/ctrlProp199.xml><?xml version="1.0" encoding="utf-8"?>
<formControlPr xmlns="http://schemas.microsoft.com/office/spreadsheetml/2009/9/main" objectType="CheckBox" fmlaLink="$I$17" lockText="1" noThreeD="1"/>
</file>

<file path=xl/ctrlProps/ctrlProp200.xml><?xml version="1.0" encoding="utf-8"?>
<formControlPr xmlns="http://schemas.microsoft.com/office/spreadsheetml/2009/9/main" objectType="CheckBox" fmlaLink="$I$18" lockText="1" noThreeD="1"/>
</file>

<file path=xl/ctrlProps/ctrlProp201.xml><?xml version="1.0" encoding="utf-8"?>
<formControlPr xmlns="http://schemas.microsoft.com/office/spreadsheetml/2009/9/main" objectType="CheckBox" fmlaLink="$I$19" lockText="1" noThreeD="1"/>
</file>

<file path=xl/ctrlProps/ctrlProp202.xml><?xml version="1.0" encoding="utf-8"?>
<formControlPr xmlns="http://schemas.microsoft.com/office/spreadsheetml/2009/9/main" objectType="CheckBox" fmlaLink="$I$9" lockText="1" noThreeD="1"/>
</file>

<file path=xl/ctrlProps/ctrlProp203.xml><?xml version="1.0" encoding="utf-8"?>
<formControlPr xmlns="http://schemas.microsoft.com/office/spreadsheetml/2009/9/main" objectType="CheckBox" fmlaLink="$I$10" lockText="1" noThreeD="1"/>
</file>

<file path=xl/ctrlProps/ctrlProp204.xml><?xml version="1.0" encoding="utf-8"?>
<formControlPr xmlns="http://schemas.microsoft.com/office/spreadsheetml/2009/9/main" objectType="CheckBox" fmlaLink="$I$11" lockText="1" noThreeD="1"/>
</file>

<file path=xl/ctrlProps/ctrlProp205.xml><?xml version="1.0" encoding="utf-8"?>
<formControlPr xmlns="http://schemas.microsoft.com/office/spreadsheetml/2009/9/main" objectType="CheckBox" fmlaLink="$I$12" lockText="1" noThreeD="1"/>
</file>

<file path=xl/ctrlProps/ctrlProp206.xml><?xml version="1.0" encoding="utf-8"?>
<formControlPr xmlns="http://schemas.microsoft.com/office/spreadsheetml/2009/9/main" objectType="CheckBox" fmlaLink="$I$13" lockText="1" noThreeD="1"/>
</file>

<file path=xl/ctrlProps/ctrlProp207.xml><?xml version="1.0" encoding="utf-8"?>
<formControlPr xmlns="http://schemas.microsoft.com/office/spreadsheetml/2009/9/main" objectType="CheckBox" fmlaLink="$I$14" lockText="1" noThreeD="1"/>
</file>

<file path=xl/ctrlProps/ctrlProp208.xml><?xml version="1.0" encoding="utf-8"?>
<formControlPr xmlns="http://schemas.microsoft.com/office/spreadsheetml/2009/9/main" objectType="CheckBox" fmlaLink="$I$15" lockText="1" noThreeD="1"/>
</file>

<file path=xl/ctrlProps/ctrlProp209.xml><?xml version="1.0" encoding="utf-8"?>
<formControlPr xmlns="http://schemas.microsoft.com/office/spreadsheetml/2009/9/main" objectType="CheckBox" fmlaLink="$I$16" lockText="1" noThreeD="1"/>
</file>

<file path=xl/ctrlProps/ctrlProp210.xml><?xml version="1.0" encoding="utf-8"?>
<formControlPr xmlns="http://schemas.microsoft.com/office/spreadsheetml/2009/9/main" objectType="CheckBox" fmlaLink="$I$17" lockText="1" noThreeD="1"/>
</file>

<file path=xl/ctrlProps/ctrlProp211.xml><?xml version="1.0" encoding="utf-8"?>
<formControlPr xmlns="http://schemas.microsoft.com/office/spreadsheetml/2009/9/main" objectType="CheckBox" fmlaLink="$I$18" lockText="1" noThreeD="1"/>
</file>

<file path=xl/ctrlProps/ctrlProp212.xml><?xml version="1.0" encoding="utf-8"?>
<formControlPr xmlns="http://schemas.microsoft.com/office/spreadsheetml/2009/9/main" objectType="CheckBox" fmlaLink="$I$19" lockText="1" noThreeD="1"/>
</file>

<file path=xl/ctrlProps/ctrlProp213.xml><?xml version="1.0" encoding="utf-8"?>
<formControlPr xmlns="http://schemas.microsoft.com/office/spreadsheetml/2009/9/main" objectType="CheckBox" fmlaLink="$I$9" lockText="1" noThreeD="1"/>
</file>

<file path=xl/ctrlProps/ctrlProp214.xml><?xml version="1.0" encoding="utf-8"?>
<formControlPr xmlns="http://schemas.microsoft.com/office/spreadsheetml/2009/9/main" objectType="CheckBox" fmlaLink="$I$10" lockText="1" noThreeD="1"/>
</file>

<file path=xl/ctrlProps/ctrlProp215.xml><?xml version="1.0" encoding="utf-8"?>
<formControlPr xmlns="http://schemas.microsoft.com/office/spreadsheetml/2009/9/main" objectType="CheckBox" fmlaLink="$I$11" lockText="1" noThreeD="1"/>
</file>

<file path=xl/ctrlProps/ctrlProp216.xml><?xml version="1.0" encoding="utf-8"?>
<formControlPr xmlns="http://schemas.microsoft.com/office/spreadsheetml/2009/9/main" objectType="CheckBox" fmlaLink="$I$12" lockText="1" noThreeD="1"/>
</file>

<file path=xl/ctrlProps/ctrlProp217.xml><?xml version="1.0" encoding="utf-8"?>
<formControlPr xmlns="http://schemas.microsoft.com/office/spreadsheetml/2009/9/main" objectType="CheckBox" fmlaLink="$I$13" lockText="1" noThreeD="1"/>
</file>

<file path=xl/ctrlProps/ctrlProp218.xml><?xml version="1.0" encoding="utf-8"?>
<formControlPr xmlns="http://schemas.microsoft.com/office/spreadsheetml/2009/9/main" objectType="CheckBox" fmlaLink="$I$14" lockText="1" noThreeD="1"/>
</file>

<file path=xl/ctrlProps/ctrlProp219.xml><?xml version="1.0" encoding="utf-8"?>
<formControlPr xmlns="http://schemas.microsoft.com/office/spreadsheetml/2009/9/main" objectType="CheckBox" fmlaLink="$I$15" lockText="1" noThreeD="1"/>
</file>

<file path=xl/ctrlProps/ctrlProp220.xml><?xml version="1.0" encoding="utf-8"?>
<formControlPr xmlns="http://schemas.microsoft.com/office/spreadsheetml/2009/9/main" objectType="CheckBox" fmlaLink="$I$16" lockText="1" noThreeD="1"/>
</file>

<file path=xl/ctrlProps/ctrlProp221.xml><?xml version="1.0" encoding="utf-8"?>
<formControlPr xmlns="http://schemas.microsoft.com/office/spreadsheetml/2009/9/main" objectType="CheckBox" fmlaLink="$I$17" lockText="1" noThreeD="1"/>
</file>

<file path=xl/ctrlProps/ctrlProp222.xml><?xml version="1.0" encoding="utf-8"?>
<formControlPr xmlns="http://schemas.microsoft.com/office/spreadsheetml/2009/9/main" objectType="CheckBox" fmlaLink="$I$18" lockText="1" noThreeD="1"/>
</file>

<file path=xl/ctrlProps/ctrlProp223.xml><?xml version="1.0" encoding="utf-8"?>
<formControlPr xmlns="http://schemas.microsoft.com/office/spreadsheetml/2009/9/main" objectType="CheckBox" fmlaLink="$I$19" lockText="1" noThreeD="1"/>
</file>

<file path=xl/ctrlProps/ctrlProp224.xml><?xml version="1.0" encoding="utf-8"?>
<formControlPr xmlns="http://schemas.microsoft.com/office/spreadsheetml/2009/9/main" objectType="CheckBox" fmlaLink="$I$9" lockText="1" noThreeD="1"/>
</file>

<file path=xl/ctrlProps/ctrlProp225.xml><?xml version="1.0" encoding="utf-8"?>
<formControlPr xmlns="http://schemas.microsoft.com/office/spreadsheetml/2009/9/main" objectType="CheckBox" fmlaLink="$I$10" lockText="1" noThreeD="1"/>
</file>

<file path=xl/ctrlProps/ctrlProp226.xml><?xml version="1.0" encoding="utf-8"?>
<formControlPr xmlns="http://schemas.microsoft.com/office/spreadsheetml/2009/9/main" objectType="CheckBox" fmlaLink="$I$11" lockText="1" noThreeD="1"/>
</file>

<file path=xl/ctrlProps/ctrlProp227.xml><?xml version="1.0" encoding="utf-8"?>
<formControlPr xmlns="http://schemas.microsoft.com/office/spreadsheetml/2009/9/main" objectType="CheckBox" fmlaLink="$I$12" lockText="1" noThreeD="1"/>
</file>

<file path=xl/ctrlProps/ctrlProp228.xml><?xml version="1.0" encoding="utf-8"?>
<formControlPr xmlns="http://schemas.microsoft.com/office/spreadsheetml/2009/9/main" objectType="CheckBox" fmlaLink="$I$13" lockText="1" noThreeD="1"/>
</file>

<file path=xl/ctrlProps/ctrlProp229.xml><?xml version="1.0" encoding="utf-8"?>
<formControlPr xmlns="http://schemas.microsoft.com/office/spreadsheetml/2009/9/main" objectType="CheckBox" fmlaLink="$I$14" lockText="1" noThreeD="1"/>
</file>

<file path=xl/ctrlProps/ctrlProp230.xml><?xml version="1.0" encoding="utf-8"?>
<formControlPr xmlns="http://schemas.microsoft.com/office/spreadsheetml/2009/9/main" objectType="CheckBox" fmlaLink="$I$15" lockText="1" noThreeD="1"/>
</file>

<file path=xl/ctrlProps/ctrlProp231.xml><?xml version="1.0" encoding="utf-8"?>
<formControlPr xmlns="http://schemas.microsoft.com/office/spreadsheetml/2009/9/main" objectType="CheckBox" fmlaLink="$I$16" lockText="1" noThreeD="1"/>
</file>

<file path=xl/ctrlProps/ctrlProp232.xml><?xml version="1.0" encoding="utf-8"?>
<formControlPr xmlns="http://schemas.microsoft.com/office/spreadsheetml/2009/9/main" objectType="CheckBox" fmlaLink="$I$17" lockText="1" noThreeD="1"/>
</file>

<file path=xl/ctrlProps/ctrlProp233.xml><?xml version="1.0" encoding="utf-8"?>
<formControlPr xmlns="http://schemas.microsoft.com/office/spreadsheetml/2009/9/main" objectType="CheckBox" fmlaLink="$I$18" lockText="1" noThreeD="1"/>
</file>

<file path=xl/ctrlProps/ctrlProp234.xml><?xml version="1.0" encoding="utf-8"?>
<formControlPr xmlns="http://schemas.microsoft.com/office/spreadsheetml/2009/9/main" objectType="CheckBox" fmlaLink="$I$19" lockText="1" noThreeD="1"/>
</file>

<file path=xl/ctrlProps/ctrlProp235.xml><?xml version="1.0" encoding="utf-8"?>
<formControlPr xmlns="http://schemas.microsoft.com/office/spreadsheetml/2009/9/main" objectType="CheckBox" fmlaLink="$I$9" lockText="1" noThreeD="1"/>
</file>

<file path=xl/ctrlProps/ctrlProp236.xml><?xml version="1.0" encoding="utf-8"?>
<formControlPr xmlns="http://schemas.microsoft.com/office/spreadsheetml/2009/9/main" objectType="CheckBox" fmlaLink="$I$10" lockText="1" noThreeD="1"/>
</file>

<file path=xl/ctrlProps/ctrlProp237.xml><?xml version="1.0" encoding="utf-8"?>
<formControlPr xmlns="http://schemas.microsoft.com/office/spreadsheetml/2009/9/main" objectType="CheckBox" fmlaLink="$I$11" lockText="1" noThreeD="1"/>
</file>

<file path=xl/ctrlProps/ctrlProp238.xml><?xml version="1.0" encoding="utf-8"?>
<formControlPr xmlns="http://schemas.microsoft.com/office/spreadsheetml/2009/9/main" objectType="CheckBox" fmlaLink="$I$12" lockText="1" noThreeD="1"/>
</file>

<file path=xl/ctrlProps/ctrlProp239.xml><?xml version="1.0" encoding="utf-8"?>
<formControlPr xmlns="http://schemas.microsoft.com/office/spreadsheetml/2009/9/main" objectType="CheckBox" fmlaLink="$I$13" lockText="1" noThreeD="1"/>
</file>

<file path=xl/ctrlProps/ctrlProp240.xml><?xml version="1.0" encoding="utf-8"?>
<formControlPr xmlns="http://schemas.microsoft.com/office/spreadsheetml/2009/9/main" objectType="CheckBox" fmlaLink="$I$14" lockText="1" noThreeD="1"/>
</file>

<file path=xl/ctrlProps/ctrlProp241.xml><?xml version="1.0" encoding="utf-8"?>
<formControlPr xmlns="http://schemas.microsoft.com/office/spreadsheetml/2009/9/main" objectType="CheckBox" fmlaLink="$I$15" lockText="1" noThreeD="1"/>
</file>

<file path=xl/ctrlProps/ctrlProp242.xml><?xml version="1.0" encoding="utf-8"?>
<formControlPr xmlns="http://schemas.microsoft.com/office/spreadsheetml/2009/9/main" objectType="CheckBox" fmlaLink="$I$16" lockText="1" noThreeD="1"/>
</file>

<file path=xl/ctrlProps/ctrlProp243.xml><?xml version="1.0" encoding="utf-8"?>
<formControlPr xmlns="http://schemas.microsoft.com/office/spreadsheetml/2009/9/main" objectType="CheckBox" fmlaLink="$I$17" lockText="1" noThreeD="1"/>
</file>

<file path=xl/ctrlProps/ctrlProp244.xml><?xml version="1.0" encoding="utf-8"?>
<formControlPr xmlns="http://schemas.microsoft.com/office/spreadsheetml/2009/9/main" objectType="CheckBox" fmlaLink="$I$18" lockText="1" noThreeD="1"/>
</file>

<file path=xl/ctrlProps/ctrlProp245.xml><?xml version="1.0" encoding="utf-8"?>
<formControlPr xmlns="http://schemas.microsoft.com/office/spreadsheetml/2009/9/main" objectType="CheckBox" fmlaLink="$I$19" lockText="1" noThreeD="1"/>
</file>

<file path=xl/ctrlProps/ctrlProp246.xml><?xml version="1.0" encoding="utf-8"?>
<formControlPr xmlns="http://schemas.microsoft.com/office/spreadsheetml/2009/9/main" objectType="CheckBox" fmlaLink="$I$9" lockText="1" noThreeD="1"/>
</file>

<file path=xl/ctrlProps/ctrlProp247.xml><?xml version="1.0" encoding="utf-8"?>
<formControlPr xmlns="http://schemas.microsoft.com/office/spreadsheetml/2009/9/main" objectType="CheckBox" fmlaLink="$I$10" lockText="1" noThreeD="1"/>
</file>

<file path=xl/ctrlProps/ctrlProp248.xml><?xml version="1.0" encoding="utf-8"?>
<formControlPr xmlns="http://schemas.microsoft.com/office/spreadsheetml/2009/9/main" objectType="CheckBox" fmlaLink="$I$11" lockText="1" noThreeD="1"/>
</file>

<file path=xl/ctrlProps/ctrlProp249.xml><?xml version="1.0" encoding="utf-8"?>
<formControlPr xmlns="http://schemas.microsoft.com/office/spreadsheetml/2009/9/main" objectType="CheckBox" fmlaLink="$I$12" lockText="1" noThreeD="1"/>
</file>

<file path=xl/ctrlProps/ctrlProp250.xml><?xml version="1.0" encoding="utf-8"?>
<formControlPr xmlns="http://schemas.microsoft.com/office/spreadsheetml/2009/9/main" objectType="CheckBox" fmlaLink="$I$13" lockText="1" noThreeD="1"/>
</file>

<file path=xl/ctrlProps/ctrlProp251.xml><?xml version="1.0" encoding="utf-8"?>
<formControlPr xmlns="http://schemas.microsoft.com/office/spreadsheetml/2009/9/main" objectType="CheckBox" fmlaLink="$I$14" lockText="1" noThreeD="1"/>
</file>

<file path=xl/ctrlProps/ctrlProp252.xml><?xml version="1.0" encoding="utf-8"?>
<formControlPr xmlns="http://schemas.microsoft.com/office/spreadsheetml/2009/9/main" objectType="CheckBox" fmlaLink="$I$15" lockText="1" noThreeD="1"/>
</file>

<file path=xl/ctrlProps/ctrlProp253.xml><?xml version="1.0" encoding="utf-8"?>
<formControlPr xmlns="http://schemas.microsoft.com/office/spreadsheetml/2009/9/main" objectType="CheckBox" fmlaLink="$I$16" lockText="1" noThreeD="1"/>
</file>

<file path=xl/ctrlProps/ctrlProp254.xml><?xml version="1.0" encoding="utf-8"?>
<formControlPr xmlns="http://schemas.microsoft.com/office/spreadsheetml/2009/9/main" objectType="CheckBox" fmlaLink="$I$17" lockText="1" noThreeD="1"/>
</file>

<file path=xl/ctrlProps/ctrlProp255.xml><?xml version="1.0" encoding="utf-8"?>
<formControlPr xmlns="http://schemas.microsoft.com/office/spreadsheetml/2009/9/main" objectType="CheckBox" fmlaLink="$I$18" lockText="1" noThreeD="1"/>
</file>

<file path=xl/ctrlProps/ctrlProp256.xml><?xml version="1.0" encoding="utf-8"?>
<formControlPr xmlns="http://schemas.microsoft.com/office/spreadsheetml/2009/9/main" objectType="CheckBox" fmlaLink="$I$19" lockText="1" noThreeD="1"/>
</file>

<file path=xl/ctrlProps/ctrlProp257.xml><?xml version="1.0" encoding="utf-8"?>
<formControlPr xmlns="http://schemas.microsoft.com/office/spreadsheetml/2009/9/main" objectType="CheckBox" fmlaLink="$I$9" lockText="1" noThreeD="1"/>
</file>

<file path=xl/ctrlProps/ctrlProp258.xml><?xml version="1.0" encoding="utf-8"?>
<formControlPr xmlns="http://schemas.microsoft.com/office/spreadsheetml/2009/9/main" objectType="CheckBox" fmlaLink="$I$10" lockText="1" noThreeD="1"/>
</file>

<file path=xl/ctrlProps/ctrlProp259.xml><?xml version="1.0" encoding="utf-8"?>
<formControlPr xmlns="http://schemas.microsoft.com/office/spreadsheetml/2009/9/main" objectType="CheckBox" fmlaLink="$I$11" lockText="1" noThreeD="1"/>
</file>

<file path=xl/ctrlProps/ctrlProp260.xml><?xml version="1.0" encoding="utf-8"?>
<formControlPr xmlns="http://schemas.microsoft.com/office/spreadsheetml/2009/9/main" objectType="CheckBox" fmlaLink="$I$12" lockText="1" noThreeD="1"/>
</file>

<file path=xl/ctrlProps/ctrlProp261.xml><?xml version="1.0" encoding="utf-8"?>
<formControlPr xmlns="http://schemas.microsoft.com/office/spreadsheetml/2009/9/main" objectType="CheckBox" fmlaLink="$I$13" lockText="1" noThreeD="1"/>
</file>

<file path=xl/ctrlProps/ctrlProp262.xml><?xml version="1.0" encoding="utf-8"?>
<formControlPr xmlns="http://schemas.microsoft.com/office/spreadsheetml/2009/9/main" objectType="CheckBox" fmlaLink="$I$14" lockText="1" noThreeD="1"/>
</file>

<file path=xl/ctrlProps/ctrlProp263.xml><?xml version="1.0" encoding="utf-8"?>
<formControlPr xmlns="http://schemas.microsoft.com/office/spreadsheetml/2009/9/main" objectType="CheckBox" fmlaLink="$I$15" lockText="1" noThreeD="1"/>
</file>

<file path=xl/ctrlProps/ctrlProp264.xml><?xml version="1.0" encoding="utf-8"?>
<formControlPr xmlns="http://schemas.microsoft.com/office/spreadsheetml/2009/9/main" objectType="CheckBox" fmlaLink="$I$16" lockText="1" noThreeD="1"/>
</file>

<file path=xl/ctrlProps/ctrlProp265.xml><?xml version="1.0" encoding="utf-8"?>
<formControlPr xmlns="http://schemas.microsoft.com/office/spreadsheetml/2009/9/main" objectType="CheckBox" fmlaLink="$I$17" lockText="1" noThreeD="1"/>
</file>

<file path=xl/ctrlProps/ctrlProp266.xml><?xml version="1.0" encoding="utf-8"?>
<formControlPr xmlns="http://schemas.microsoft.com/office/spreadsheetml/2009/9/main" objectType="CheckBox" fmlaLink="$I$18" lockText="1" noThreeD="1"/>
</file>

<file path=xl/ctrlProps/ctrlProp267.xml><?xml version="1.0" encoding="utf-8"?>
<formControlPr xmlns="http://schemas.microsoft.com/office/spreadsheetml/2009/9/main" objectType="CheckBox" fmlaLink="$I$19" lockText="1" noThreeD="1"/>
</file>

<file path=xl/ctrlProps/ctrlProp268.xml><?xml version="1.0" encoding="utf-8"?>
<formControlPr xmlns="http://schemas.microsoft.com/office/spreadsheetml/2009/9/main" objectType="CheckBox" fmlaLink="$I$9" lockText="1" noThreeD="1"/>
</file>

<file path=xl/ctrlProps/ctrlProp269.xml><?xml version="1.0" encoding="utf-8"?>
<formControlPr xmlns="http://schemas.microsoft.com/office/spreadsheetml/2009/9/main" objectType="CheckBox" fmlaLink="$I$10" lockText="1" noThreeD="1"/>
</file>

<file path=xl/ctrlProps/ctrlProp270.xml><?xml version="1.0" encoding="utf-8"?>
<formControlPr xmlns="http://schemas.microsoft.com/office/spreadsheetml/2009/9/main" objectType="CheckBox" fmlaLink="$I$11" lockText="1" noThreeD="1"/>
</file>

<file path=xl/ctrlProps/ctrlProp271.xml><?xml version="1.0" encoding="utf-8"?>
<formControlPr xmlns="http://schemas.microsoft.com/office/spreadsheetml/2009/9/main" objectType="CheckBox" fmlaLink="$I$12" lockText="1" noThreeD="1"/>
</file>

<file path=xl/ctrlProps/ctrlProp272.xml><?xml version="1.0" encoding="utf-8"?>
<formControlPr xmlns="http://schemas.microsoft.com/office/spreadsheetml/2009/9/main" objectType="CheckBox" fmlaLink="$I$13" lockText="1" noThreeD="1"/>
</file>

<file path=xl/ctrlProps/ctrlProp273.xml><?xml version="1.0" encoding="utf-8"?>
<formControlPr xmlns="http://schemas.microsoft.com/office/spreadsheetml/2009/9/main" objectType="CheckBox" fmlaLink="$I$14" lockText="1" noThreeD="1"/>
</file>

<file path=xl/ctrlProps/ctrlProp274.xml><?xml version="1.0" encoding="utf-8"?>
<formControlPr xmlns="http://schemas.microsoft.com/office/spreadsheetml/2009/9/main" objectType="CheckBox" fmlaLink="$I$15" lockText="1" noThreeD="1"/>
</file>

<file path=xl/ctrlProps/ctrlProp275.xml><?xml version="1.0" encoding="utf-8"?>
<formControlPr xmlns="http://schemas.microsoft.com/office/spreadsheetml/2009/9/main" objectType="CheckBox" fmlaLink="$I$16" lockText="1" noThreeD="1"/>
</file>

<file path=xl/ctrlProps/ctrlProp276.xml><?xml version="1.0" encoding="utf-8"?>
<formControlPr xmlns="http://schemas.microsoft.com/office/spreadsheetml/2009/9/main" objectType="CheckBox" fmlaLink="$I$17" lockText="1" noThreeD="1"/>
</file>

<file path=xl/ctrlProps/ctrlProp277.xml><?xml version="1.0" encoding="utf-8"?>
<formControlPr xmlns="http://schemas.microsoft.com/office/spreadsheetml/2009/9/main" objectType="CheckBox" fmlaLink="$I$18" lockText="1" noThreeD="1"/>
</file>

<file path=xl/ctrlProps/ctrlProp278.xml><?xml version="1.0" encoding="utf-8"?>
<formControlPr xmlns="http://schemas.microsoft.com/office/spreadsheetml/2009/9/main" objectType="CheckBox" fmlaLink="$I$19" lockText="1" noThreeD="1"/>
</file>

<file path=xl/ctrlProps/ctrlProp279.xml><?xml version="1.0" encoding="utf-8"?>
<formControlPr xmlns="http://schemas.microsoft.com/office/spreadsheetml/2009/9/main" objectType="CheckBox" fmlaLink="$I$9" lockText="1" noThreeD="1"/>
</file>

<file path=xl/ctrlProps/ctrlProp280.xml><?xml version="1.0" encoding="utf-8"?>
<formControlPr xmlns="http://schemas.microsoft.com/office/spreadsheetml/2009/9/main" objectType="CheckBox" fmlaLink="$I$10" lockText="1" noThreeD="1"/>
</file>

<file path=xl/ctrlProps/ctrlProp281.xml><?xml version="1.0" encoding="utf-8"?>
<formControlPr xmlns="http://schemas.microsoft.com/office/spreadsheetml/2009/9/main" objectType="CheckBox" fmlaLink="$I$11" lockText="1" noThreeD="1"/>
</file>

<file path=xl/ctrlProps/ctrlProp282.xml><?xml version="1.0" encoding="utf-8"?>
<formControlPr xmlns="http://schemas.microsoft.com/office/spreadsheetml/2009/9/main" objectType="CheckBox" fmlaLink="$I$12" lockText="1" noThreeD="1"/>
</file>

<file path=xl/ctrlProps/ctrlProp283.xml><?xml version="1.0" encoding="utf-8"?>
<formControlPr xmlns="http://schemas.microsoft.com/office/spreadsheetml/2009/9/main" objectType="CheckBox" fmlaLink="$I$13" lockText="1" noThreeD="1"/>
</file>

<file path=xl/ctrlProps/ctrlProp284.xml><?xml version="1.0" encoding="utf-8"?>
<formControlPr xmlns="http://schemas.microsoft.com/office/spreadsheetml/2009/9/main" objectType="CheckBox" fmlaLink="$I$14" lockText="1" noThreeD="1"/>
</file>

<file path=xl/ctrlProps/ctrlProp285.xml><?xml version="1.0" encoding="utf-8"?>
<formControlPr xmlns="http://schemas.microsoft.com/office/spreadsheetml/2009/9/main" objectType="CheckBox" fmlaLink="$I$15" lockText="1" noThreeD="1"/>
</file>

<file path=xl/ctrlProps/ctrlProp286.xml><?xml version="1.0" encoding="utf-8"?>
<formControlPr xmlns="http://schemas.microsoft.com/office/spreadsheetml/2009/9/main" objectType="CheckBox" fmlaLink="$I$16" lockText="1" noThreeD="1"/>
</file>

<file path=xl/ctrlProps/ctrlProp287.xml><?xml version="1.0" encoding="utf-8"?>
<formControlPr xmlns="http://schemas.microsoft.com/office/spreadsheetml/2009/9/main" objectType="CheckBox" fmlaLink="$I$17" lockText="1" noThreeD="1"/>
</file>

<file path=xl/ctrlProps/ctrlProp288.xml><?xml version="1.0" encoding="utf-8"?>
<formControlPr xmlns="http://schemas.microsoft.com/office/spreadsheetml/2009/9/main" objectType="CheckBox" fmlaLink="$I$18" lockText="1" noThreeD="1"/>
</file>

<file path=xl/ctrlProps/ctrlProp289.xml><?xml version="1.0" encoding="utf-8"?>
<formControlPr xmlns="http://schemas.microsoft.com/office/spreadsheetml/2009/9/main" objectType="CheckBox" fmlaLink="$I$19" lockText="1" noThreeD="1"/>
</file>

<file path=xl/ctrlProps/ctrlProp290.xml><?xml version="1.0" encoding="utf-8"?>
<formControlPr xmlns="http://schemas.microsoft.com/office/spreadsheetml/2009/9/main" objectType="CheckBox" fmlaLink="$I$9" lockText="1" noThreeD="1"/>
</file>

<file path=xl/ctrlProps/ctrlProp291.xml><?xml version="1.0" encoding="utf-8"?>
<formControlPr xmlns="http://schemas.microsoft.com/office/spreadsheetml/2009/9/main" objectType="CheckBox" fmlaLink="$I$10" lockText="1" noThreeD="1"/>
</file>

<file path=xl/ctrlProps/ctrlProp292.xml><?xml version="1.0" encoding="utf-8"?>
<formControlPr xmlns="http://schemas.microsoft.com/office/spreadsheetml/2009/9/main" objectType="CheckBox" fmlaLink="$I$11" lockText="1" noThreeD="1"/>
</file>

<file path=xl/ctrlProps/ctrlProp293.xml><?xml version="1.0" encoding="utf-8"?>
<formControlPr xmlns="http://schemas.microsoft.com/office/spreadsheetml/2009/9/main" objectType="CheckBox" fmlaLink="$I$12" lockText="1" noThreeD="1"/>
</file>

<file path=xl/ctrlProps/ctrlProp294.xml><?xml version="1.0" encoding="utf-8"?>
<formControlPr xmlns="http://schemas.microsoft.com/office/spreadsheetml/2009/9/main" objectType="CheckBox" fmlaLink="$I$13" lockText="1" noThreeD="1"/>
</file>

<file path=xl/ctrlProps/ctrlProp295.xml><?xml version="1.0" encoding="utf-8"?>
<formControlPr xmlns="http://schemas.microsoft.com/office/spreadsheetml/2009/9/main" objectType="CheckBox" fmlaLink="$I$14" lockText="1" noThreeD="1"/>
</file>

<file path=xl/ctrlProps/ctrlProp296.xml><?xml version="1.0" encoding="utf-8"?>
<formControlPr xmlns="http://schemas.microsoft.com/office/spreadsheetml/2009/9/main" objectType="CheckBox" fmlaLink="$I$15" lockText="1" noThreeD="1"/>
</file>

<file path=xl/ctrlProps/ctrlProp297.xml><?xml version="1.0" encoding="utf-8"?>
<formControlPr xmlns="http://schemas.microsoft.com/office/spreadsheetml/2009/9/main" objectType="CheckBox" fmlaLink="$I$16" lockText="1" noThreeD="1"/>
</file>

<file path=xl/ctrlProps/ctrlProp298.xml><?xml version="1.0" encoding="utf-8"?>
<formControlPr xmlns="http://schemas.microsoft.com/office/spreadsheetml/2009/9/main" objectType="CheckBox" fmlaLink="$I$17" lockText="1" noThreeD="1"/>
</file>

<file path=xl/ctrlProps/ctrlProp299.xml><?xml version="1.0" encoding="utf-8"?>
<formControlPr xmlns="http://schemas.microsoft.com/office/spreadsheetml/2009/9/main" objectType="CheckBox" fmlaLink="$I$18" lockText="1" noThreeD="1"/>
</file>

<file path=xl/ctrlProps/ctrlProp300.xml><?xml version="1.0" encoding="utf-8"?>
<formControlPr xmlns="http://schemas.microsoft.com/office/spreadsheetml/2009/9/main" objectType="CheckBox" fmlaLink="$I$19" lockText="1" noThreeD="1"/>
</file>

<file path=xl/ctrlProps/ctrlProp301.xml><?xml version="1.0" encoding="utf-8"?>
<formControlPr xmlns="http://schemas.microsoft.com/office/spreadsheetml/2009/9/main" objectType="CheckBox" fmlaLink="$I$9" lockText="1" noThreeD="1"/>
</file>

<file path=xl/ctrlProps/ctrlProp302.xml><?xml version="1.0" encoding="utf-8"?>
<formControlPr xmlns="http://schemas.microsoft.com/office/spreadsheetml/2009/9/main" objectType="CheckBox" fmlaLink="$I$10" lockText="1" noThreeD="1"/>
</file>

<file path=xl/ctrlProps/ctrlProp303.xml><?xml version="1.0" encoding="utf-8"?>
<formControlPr xmlns="http://schemas.microsoft.com/office/spreadsheetml/2009/9/main" objectType="CheckBox" fmlaLink="$I$11" lockText="1" noThreeD="1"/>
</file>

<file path=xl/ctrlProps/ctrlProp304.xml><?xml version="1.0" encoding="utf-8"?>
<formControlPr xmlns="http://schemas.microsoft.com/office/spreadsheetml/2009/9/main" objectType="CheckBox" fmlaLink="$I$12" lockText="1" noThreeD="1"/>
</file>

<file path=xl/ctrlProps/ctrlProp305.xml><?xml version="1.0" encoding="utf-8"?>
<formControlPr xmlns="http://schemas.microsoft.com/office/spreadsheetml/2009/9/main" objectType="CheckBox" fmlaLink="$I$13" lockText="1" noThreeD="1"/>
</file>

<file path=xl/ctrlProps/ctrlProp306.xml><?xml version="1.0" encoding="utf-8"?>
<formControlPr xmlns="http://schemas.microsoft.com/office/spreadsheetml/2009/9/main" objectType="CheckBox" fmlaLink="$I$14" lockText="1" noThreeD="1"/>
</file>

<file path=xl/ctrlProps/ctrlProp307.xml><?xml version="1.0" encoding="utf-8"?>
<formControlPr xmlns="http://schemas.microsoft.com/office/spreadsheetml/2009/9/main" objectType="CheckBox" fmlaLink="$I$15" lockText="1" noThreeD="1"/>
</file>

<file path=xl/ctrlProps/ctrlProp308.xml><?xml version="1.0" encoding="utf-8"?>
<formControlPr xmlns="http://schemas.microsoft.com/office/spreadsheetml/2009/9/main" objectType="CheckBox" fmlaLink="$I$16" lockText="1" noThreeD="1"/>
</file>

<file path=xl/ctrlProps/ctrlProp309.xml><?xml version="1.0" encoding="utf-8"?>
<formControlPr xmlns="http://schemas.microsoft.com/office/spreadsheetml/2009/9/main" objectType="CheckBox" fmlaLink="$I$17" lockText="1" noThreeD="1"/>
</file>

<file path=xl/ctrlProps/ctrlProp310.xml><?xml version="1.0" encoding="utf-8"?>
<formControlPr xmlns="http://schemas.microsoft.com/office/spreadsheetml/2009/9/main" objectType="CheckBox" fmlaLink="$I$18" lockText="1" noThreeD="1"/>
</file>

<file path=xl/ctrlProps/ctrlProp311.xml><?xml version="1.0" encoding="utf-8"?>
<formControlPr xmlns="http://schemas.microsoft.com/office/spreadsheetml/2009/9/main" objectType="CheckBox" fmlaLink="$I$19" lockText="1" noThreeD="1"/>
</file>

<file path=xl/ctrlProps/ctrlProp312.xml><?xml version="1.0" encoding="utf-8"?>
<formControlPr xmlns="http://schemas.microsoft.com/office/spreadsheetml/2009/9/main" objectType="CheckBox" fmlaLink="$I$9" lockText="1" noThreeD="1"/>
</file>

<file path=xl/ctrlProps/ctrlProp313.xml><?xml version="1.0" encoding="utf-8"?>
<formControlPr xmlns="http://schemas.microsoft.com/office/spreadsheetml/2009/9/main" objectType="CheckBox" fmlaLink="$I$10" lockText="1" noThreeD="1"/>
</file>

<file path=xl/ctrlProps/ctrlProp314.xml><?xml version="1.0" encoding="utf-8"?>
<formControlPr xmlns="http://schemas.microsoft.com/office/spreadsheetml/2009/9/main" objectType="CheckBox" fmlaLink="$I$11" lockText="1" noThreeD="1"/>
</file>

<file path=xl/ctrlProps/ctrlProp315.xml><?xml version="1.0" encoding="utf-8"?>
<formControlPr xmlns="http://schemas.microsoft.com/office/spreadsheetml/2009/9/main" objectType="CheckBox" fmlaLink="$I$12" lockText="1" noThreeD="1"/>
</file>

<file path=xl/ctrlProps/ctrlProp316.xml><?xml version="1.0" encoding="utf-8"?>
<formControlPr xmlns="http://schemas.microsoft.com/office/spreadsheetml/2009/9/main" objectType="CheckBox" fmlaLink="$I$13" lockText="1" noThreeD="1"/>
</file>

<file path=xl/ctrlProps/ctrlProp317.xml><?xml version="1.0" encoding="utf-8"?>
<formControlPr xmlns="http://schemas.microsoft.com/office/spreadsheetml/2009/9/main" objectType="CheckBox" fmlaLink="$I$14" lockText="1" noThreeD="1"/>
</file>

<file path=xl/ctrlProps/ctrlProp318.xml><?xml version="1.0" encoding="utf-8"?>
<formControlPr xmlns="http://schemas.microsoft.com/office/spreadsheetml/2009/9/main" objectType="CheckBox" fmlaLink="$I$15" lockText="1" noThreeD="1"/>
</file>

<file path=xl/ctrlProps/ctrlProp319.xml><?xml version="1.0" encoding="utf-8"?>
<formControlPr xmlns="http://schemas.microsoft.com/office/spreadsheetml/2009/9/main" objectType="CheckBox" fmlaLink="$I$16" lockText="1" noThreeD="1"/>
</file>

<file path=xl/ctrlProps/ctrlProp320.xml><?xml version="1.0" encoding="utf-8"?>
<formControlPr xmlns="http://schemas.microsoft.com/office/spreadsheetml/2009/9/main" objectType="CheckBox" fmlaLink="$I$17" lockText="1" noThreeD="1"/>
</file>

<file path=xl/ctrlProps/ctrlProp321.xml><?xml version="1.0" encoding="utf-8"?>
<formControlPr xmlns="http://schemas.microsoft.com/office/spreadsheetml/2009/9/main" objectType="CheckBox" fmlaLink="$I$18" lockText="1" noThreeD="1"/>
</file>

<file path=xl/ctrlProps/ctrlProp322.xml><?xml version="1.0" encoding="utf-8"?>
<formControlPr xmlns="http://schemas.microsoft.com/office/spreadsheetml/2009/9/main" objectType="CheckBox" fmlaLink="$I$19" lockText="1" noThreeD="1"/>
</file>

<file path=xl/ctrlProps/ctrlProp323.xml><?xml version="1.0" encoding="utf-8"?>
<formControlPr xmlns="http://schemas.microsoft.com/office/spreadsheetml/2009/9/main" objectType="CheckBox" fmlaLink="$I$9" lockText="1" noThreeD="1"/>
</file>

<file path=xl/ctrlProps/ctrlProp324.xml><?xml version="1.0" encoding="utf-8"?>
<formControlPr xmlns="http://schemas.microsoft.com/office/spreadsheetml/2009/9/main" objectType="CheckBox" fmlaLink="$I$10" lockText="1" noThreeD="1"/>
</file>

<file path=xl/ctrlProps/ctrlProp325.xml><?xml version="1.0" encoding="utf-8"?>
<formControlPr xmlns="http://schemas.microsoft.com/office/spreadsheetml/2009/9/main" objectType="CheckBox" fmlaLink="$I$11" lockText="1" noThreeD="1"/>
</file>

<file path=xl/ctrlProps/ctrlProp326.xml><?xml version="1.0" encoding="utf-8"?>
<formControlPr xmlns="http://schemas.microsoft.com/office/spreadsheetml/2009/9/main" objectType="CheckBox" fmlaLink="$I$12" lockText="1" noThreeD="1"/>
</file>

<file path=xl/ctrlProps/ctrlProp327.xml><?xml version="1.0" encoding="utf-8"?>
<formControlPr xmlns="http://schemas.microsoft.com/office/spreadsheetml/2009/9/main" objectType="CheckBox" fmlaLink="$I$13" lockText="1" noThreeD="1"/>
</file>

<file path=xl/ctrlProps/ctrlProp328.xml><?xml version="1.0" encoding="utf-8"?>
<formControlPr xmlns="http://schemas.microsoft.com/office/spreadsheetml/2009/9/main" objectType="CheckBox" fmlaLink="$I$14" lockText="1" noThreeD="1"/>
</file>

<file path=xl/ctrlProps/ctrlProp329.xml><?xml version="1.0" encoding="utf-8"?>
<formControlPr xmlns="http://schemas.microsoft.com/office/spreadsheetml/2009/9/main" objectType="CheckBox" fmlaLink="$I$15" lockText="1" noThreeD="1"/>
</file>

<file path=xl/ctrlProps/ctrlProp330.xml><?xml version="1.0" encoding="utf-8"?>
<formControlPr xmlns="http://schemas.microsoft.com/office/spreadsheetml/2009/9/main" objectType="CheckBox" fmlaLink="$I$16" lockText="1" noThreeD="1"/>
</file>

<file path=xl/ctrlProps/ctrlProp331.xml><?xml version="1.0" encoding="utf-8"?>
<formControlPr xmlns="http://schemas.microsoft.com/office/spreadsheetml/2009/9/main" objectType="CheckBox" fmlaLink="$I$17" lockText="1" noThreeD="1"/>
</file>

<file path=xl/ctrlProps/ctrlProp332.xml><?xml version="1.0" encoding="utf-8"?>
<formControlPr xmlns="http://schemas.microsoft.com/office/spreadsheetml/2009/9/main" objectType="CheckBox" fmlaLink="$I$18" lockText="1" noThreeD="1"/>
</file>

<file path=xl/ctrlProps/ctrlProp333.xml><?xml version="1.0" encoding="utf-8"?>
<formControlPr xmlns="http://schemas.microsoft.com/office/spreadsheetml/2009/9/main" objectType="CheckBox" fmlaLink="$I$19" lockText="1" noThreeD="1"/>
</file>

<file path=xl/ctrlProps/ctrlProp334.xml><?xml version="1.0" encoding="utf-8"?>
<formControlPr xmlns="http://schemas.microsoft.com/office/spreadsheetml/2009/9/main" objectType="CheckBox" fmlaLink="$I$9" lockText="1" noThreeD="1"/>
</file>

<file path=xl/ctrlProps/ctrlProp335.xml><?xml version="1.0" encoding="utf-8"?>
<formControlPr xmlns="http://schemas.microsoft.com/office/spreadsheetml/2009/9/main" objectType="CheckBox" fmlaLink="$I$10" lockText="1" noThreeD="1"/>
</file>

<file path=xl/ctrlProps/ctrlProp336.xml><?xml version="1.0" encoding="utf-8"?>
<formControlPr xmlns="http://schemas.microsoft.com/office/spreadsheetml/2009/9/main" objectType="CheckBox" fmlaLink="$I$11" lockText="1" noThreeD="1"/>
</file>

<file path=xl/ctrlProps/ctrlProp337.xml><?xml version="1.0" encoding="utf-8"?>
<formControlPr xmlns="http://schemas.microsoft.com/office/spreadsheetml/2009/9/main" objectType="CheckBox" fmlaLink="$I$12" lockText="1" noThreeD="1"/>
</file>

<file path=xl/ctrlProps/ctrlProp338.xml><?xml version="1.0" encoding="utf-8"?>
<formControlPr xmlns="http://schemas.microsoft.com/office/spreadsheetml/2009/9/main" objectType="CheckBox" fmlaLink="$I$13" lockText="1" noThreeD="1"/>
</file>

<file path=xl/ctrlProps/ctrlProp339.xml><?xml version="1.0" encoding="utf-8"?>
<formControlPr xmlns="http://schemas.microsoft.com/office/spreadsheetml/2009/9/main" objectType="CheckBox" fmlaLink="$I$14" lockText="1" noThreeD="1"/>
</file>

<file path=xl/ctrlProps/ctrlProp340.xml><?xml version="1.0" encoding="utf-8"?>
<formControlPr xmlns="http://schemas.microsoft.com/office/spreadsheetml/2009/9/main" objectType="CheckBox" fmlaLink="$I$15" lockText="1" noThreeD="1"/>
</file>

<file path=xl/ctrlProps/ctrlProp341.xml><?xml version="1.0" encoding="utf-8"?>
<formControlPr xmlns="http://schemas.microsoft.com/office/spreadsheetml/2009/9/main" objectType="CheckBox" fmlaLink="$I$16" lockText="1" noThreeD="1"/>
</file>

<file path=xl/ctrlProps/ctrlProp342.xml><?xml version="1.0" encoding="utf-8"?>
<formControlPr xmlns="http://schemas.microsoft.com/office/spreadsheetml/2009/9/main" objectType="CheckBox" fmlaLink="$I$17" lockText="1" noThreeD="1"/>
</file>

<file path=xl/ctrlProps/ctrlProp343.xml><?xml version="1.0" encoding="utf-8"?>
<formControlPr xmlns="http://schemas.microsoft.com/office/spreadsheetml/2009/9/main" objectType="CheckBox" fmlaLink="$I$18" lockText="1" noThreeD="1"/>
</file>

<file path=xl/ctrlProps/ctrlProp344.xml><?xml version="1.0" encoding="utf-8"?>
<formControlPr xmlns="http://schemas.microsoft.com/office/spreadsheetml/2009/9/main" objectType="CheckBox" fmlaLink="$I$19" lockText="1" noThreeD="1"/>
</file>

<file path=xl/ctrlProps/ctrlProp345.xml><?xml version="1.0" encoding="utf-8"?>
<formControlPr xmlns="http://schemas.microsoft.com/office/spreadsheetml/2009/9/main" objectType="CheckBox" fmlaLink="$I$9" lockText="1" noThreeD="1"/>
</file>

<file path=xl/ctrlProps/ctrlProp346.xml><?xml version="1.0" encoding="utf-8"?>
<formControlPr xmlns="http://schemas.microsoft.com/office/spreadsheetml/2009/9/main" objectType="CheckBox" fmlaLink="$I$10" lockText="1" noThreeD="1"/>
</file>

<file path=xl/ctrlProps/ctrlProp347.xml><?xml version="1.0" encoding="utf-8"?>
<formControlPr xmlns="http://schemas.microsoft.com/office/spreadsheetml/2009/9/main" objectType="CheckBox" fmlaLink="$I$11" lockText="1" noThreeD="1"/>
</file>

<file path=xl/ctrlProps/ctrlProp348.xml><?xml version="1.0" encoding="utf-8"?>
<formControlPr xmlns="http://schemas.microsoft.com/office/spreadsheetml/2009/9/main" objectType="CheckBox" fmlaLink="$I$12" lockText="1" noThreeD="1"/>
</file>

<file path=xl/ctrlProps/ctrlProp349.xml><?xml version="1.0" encoding="utf-8"?>
<formControlPr xmlns="http://schemas.microsoft.com/office/spreadsheetml/2009/9/main" objectType="CheckBox" fmlaLink="$I$13" lockText="1" noThreeD="1"/>
</file>

<file path=xl/ctrlProps/ctrlProp350.xml><?xml version="1.0" encoding="utf-8"?>
<formControlPr xmlns="http://schemas.microsoft.com/office/spreadsheetml/2009/9/main" objectType="CheckBox" fmlaLink="$I$14" lockText="1" noThreeD="1"/>
</file>

<file path=xl/ctrlProps/ctrlProp351.xml><?xml version="1.0" encoding="utf-8"?>
<formControlPr xmlns="http://schemas.microsoft.com/office/spreadsheetml/2009/9/main" objectType="CheckBox" fmlaLink="$I$15" lockText="1" noThreeD="1"/>
</file>

<file path=xl/ctrlProps/ctrlProp352.xml><?xml version="1.0" encoding="utf-8"?>
<formControlPr xmlns="http://schemas.microsoft.com/office/spreadsheetml/2009/9/main" objectType="CheckBox" fmlaLink="$I$16" lockText="1" noThreeD="1"/>
</file>

<file path=xl/ctrlProps/ctrlProp353.xml><?xml version="1.0" encoding="utf-8"?>
<formControlPr xmlns="http://schemas.microsoft.com/office/spreadsheetml/2009/9/main" objectType="CheckBox" fmlaLink="$I$17" lockText="1" noThreeD="1"/>
</file>

<file path=xl/ctrlProps/ctrlProp354.xml><?xml version="1.0" encoding="utf-8"?>
<formControlPr xmlns="http://schemas.microsoft.com/office/spreadsheetml/2009/9/main" objectType="CheckBox" fmlaLink="$I$18" lockText="1" noThreeD="1"/>
</file>

<file path=xl/ctrlProps/ctrlProp355.xml><?xml version="1.0" encoding="utf-8"?>
<formControlPr xmlns="http://schemas.microsoft.com/office/spreadsheetml/2009/9/main" objectType="CheckBox" fmlaLink="$I$19" lockText="1" noThreeD="1"/>
</file>

<file path=xl/ctrlProps/ctrlProp356.xml><?xml version="1.0" encoding="utf-8"?>
<formControlPr xmlns="http://schemas.microsoft.com/office/spreadsheetml/2009/9/main" objectType="CheckBox" fmlaLink="$I$9" lockText="1" noThreeD="1"/>
</file>

<file path=xl/ctrlProps/ctrlProp357.xml><?xml version="1.0" encoding="utf-8"?>
<formControlPr xmlns="http://schemas.microsoft.com/office/spreadsheetml/2009/9/main" objectType="CheckBox" fmlaLink="$I$10" lockText="1" noThreeD="1"/>
</file>

<file path=xl/ctrlProps/ctrlProp358.xml><?xml version="1.0" encoding="utf-8"?>
<formControlPr xmlns="http://schemas.microsoft.com/office/spreadsheetml/2009/9/main" objectType="CheckBox" fmlaLink="$I$11" lockText="1" noThreeD="1"/>
</file>

<file path=xl/ctrlProps/ctrlProp359.xml><?xml version="1.0" encoding="utf-8"?>
<formControlPr xmlns="http://schemas.microsoft.com/office/spreadsheetml/2009/9/main" objectType="CheckBox" fmlaLink="$I$12" lockText="1" noThreeD="1"/>
</file>

<file path=xl/ctrlProps/ctrlProp360.xml><?xml version="1.0" encoding="utf-8"?>
<formControlPr xmlns="http://schemas.microsoft.com/office/spreadsheetml/2009/9/main" objectType="CheckBox" fmlaLink="$I$13" lockText="1" noThreeD="1"/>
</file>

<file path=xl/ctrlProps/ctrlProp361.xml><?xml version="1.0" encoding="utf-8"?>
<formControlPr xmlns="http://schemas.microsoft.com/office/spreadsheetml/2009/9/main" objectType="CheckBox" fmlaLink="$I$14" lockText="1" noThreeD="1"/>
</file>

<file path=xl/ctrlProps/ctrlProp362.xml><?xml version="1.0" encoding="utf-8"?>
<formControlPr xmlns="http://schemas.microsoft.com/office/spreadsheetml/2009/9/main" objectType="CheckBox" fmlaLink="$I$15" lockText="1" noThreeD="1"/>
</file>

<file path=xl/ctrlProps/ctrlProp363.xml><?xml version="1.0" encoding="utf-8"?>
<formControlPr xmlns="http://schemas.microsoft.com/office/spreadsheetml/2009/9/main" objectType="CheckBox" fmlaLink="$I$16" lockText="1" noThreeD="1"/>
</file>

<file path=xl/ctrlProps/ctrlProp364.xml><?xml version="1.0" encoding="utf-8"?>
<formControlPr xmlns="http://schemas.microsoft.com/office/spreadsheetml/2009/9/main" objectType="CheckBox" fmlaLink="$I$17" lockText="1" noThreeD="1"/>
</file>

<file path=xl/ctrlProps/ctrlProp365.xml><?xml version="1.0" encoding="utf-8"?>
<formControlPr xmlns="http://schemas.microsoft.com/office/spreadsheetml/2009/9/main" objectType="CheckBox" fmlaLink="$I$18" lockText="1" noThreeD="1"/>
</file>

<file path=xl/ctrlProps/ctrlProp366.xml><?xml version="1.0" encoding="utf-8"?>
<formControlPr xmlns="http://schemas.microsoft.com/office/spreadsheetml/2009/9/main" objectType="CheckBox" fmlaLink="$I$19" lockText="1" noThreeD="1"/>
</file>

<file path=xl/ctrlProps/ctrlProp367.xml><?xml version="1.0" encoding="utf-8"?>
<formControlPr xmlns="http://schemas.microsoft.com/office/spreadsheetml/2009/9/main" objectType="CheckBox" fmlaLink="$I$9" lockText="1" noThreeD="1"/>
</file>

<file path=xl/ctrlProps/ctrlProp368.xml><?xml version="1.0" encoding="utf-8"?>
<formControlPr xmlns="http://schemas.microsoft.com/office/spreadsheetml/2009/9/main" objectType="CheckBox" fmlaLink="$I$10" lockText="1" noThreeD="1"/>
</file>

<file path=xl/ctrlProps/ctrlProp369.xml><?xml version="1.0" encoding="utf-8"?>
<formControlPr xmlns="http://schemas.microsoft.com/office/spreadsheetml/2009/9/main" objectType="CheckBox" fmlaLink="$I$11" lockText="1" noThreeD="1"/>
</file>

<file path=xl/ctrlProps/ctrlProp370.xml><?xml version="1.0" encoding="utf-8"?>
<formControlPr xmlns="http://schemas.microsoft.com/office/spreadsheetml/2009/9/main" objectType="CheckBox" fmlaLink="$I$12" lockText="1" noThreeD="1"/>
</file>

<file path=xl/ctrlProps/ctrlProp371.xml><?xml version="1.0" encoding="utf-8"?>
<formControlPr xmlns="http://schemas.microsoft.com/office/spreadsheetml/2009/9/main" objectType="CheckBox" fmlaLink="$I$13" lockText="1" noThreeD="1"/>
</file>

<file path=xl/ctrlProps/ctrlProp372.xml><?xml version="1.0" encoding="utf-8"?>
<formControlPr xmlns="http://schemas.microsoft.com/office/spreadsheetml/2009/9/main" objectType="CheckBox" fmlaLink="$I$14" lockText="1" noThreeD="1"/>
</file>

<file path=xl/ctrlProps/ctrlProp373.xml><?xml version="1.0" encoding="utf-8"?>
<formControlPr xmlns="http://schemas.microsoft.com/office/spreadsheetml/2009/9/main" objectType="CheckBox" fmlaLink="$I$15" lockText="1" noThreeD="1"/>
</file>

<file path=xl/ctrlProps/ctrlProp374.xml><?xml version="1.0" encoding="utf-8"?>
<formControlPr xmlns="http://schemas.microsoft.com/office/spreadsheetml/2009/9/main" objectType="CheckBox" fmlaLink="$I$16" lockText="1" noThreeD="1"/>
</file>

<file path=xl/ctrlProps/ctrlProp375.xml><?xml version="1.0" encoding="utf-8"?>
<formControlPr xmlns="http://schemas.microsoft.com/office/spreadsheetml/2009/9/main" objectType="CheckBox" fmlaLink="$I$17" lockText="1" noThreeD="1"/>
</file>

<file path=xl/ctrlProps/ctrlProp376.xml><?xml version="1.0" encoding="utf-8"?>
<formControlPr xmlns="http://schemas.microsoft.com/office/spreadsheetml/2009/9/main" objectType="CheckBox" fmlaLink="$I$18" lockText="1" noThreeD="1"/>
</file>

<file path=xl/ctrlProps/ctrlProp377.xml><?xml version="1.0" encoding="utf-8"?>
<formControlPr xmlns="http://schemas.microsoft.com/office/spreadsheetml/2009/9/main" objectType="CheckBox" fmlaLink="$I$19" lockText="1" noThreeD="1"/>
</file>

<file path=xl/ctrlProps/ctrlProp378.xml><?xml version="1.0" encoding="utf-8"?>
<formControlPr xmlns="http://schemas.microsoft.com/office/spreadsheetml/2009/9/main" objectType="CheckBox" fmlaLink="$I$9" lockText="1" noThreeD="1"/>
</file>

<file path=xl/ctrlProps/ctrlProp379.xml><?xml version="1.0" encoding="utf-8"?>
<formControlPr xmlns="http://schemas.microsoft.com/office/spreadsheetml/2009/9/main" objectType="CheckBox" fmlaLink="$I$10" lockText="1" noThreeD="1"/>
</file>

<file path=xl/ctrlProps/ctrlProp380.xml><?xml version="1.0" encoding="utf-8"?>
<formControlPr xmlns="http://schemas.microsoft.com/office/spreadsheetml/2009/9/main" objectType="CheckBox" fmlaLink="$I$11" lockText="1" noThreeD="1"/>
</file>

<file path=xl/ctrlProps/ctrlProp381.xml><?xml version="1.0" encoding="utf-8"?>
<formControlPr xmlns="http://schemas.microsoft.com/office/spreadsheetml/2009/9/main" objectType="CheckBox" fmlaLink="$I$12" lockText="1" noThreeD="1"/>
</file>

<file path=xl/ctrlProps/ctrlProp382.xml><?xml version="1.0" encoding="utf-8"?>
<formControlPr xmlns="http://schemas.microsoft.com/office/spreadsheetml/2009/9/main" objectType="CheckBox" fmlaLink="$I$13" lockText="1" noThreeD="1"/>
</file>

<file path=xl/ctrlProps/ctrlProp383.xml><?xml version="1.0" encoding="utf-8"?>
<formControlPr xmlns="http://schemas.microsoft.com/office/spreadsheetml/2009/9/main" objectType="CheckBox" fmlaLink="$I$14" lockText="1" noThreeD="1"/>
</file>

<file path=xl/ctrlProps/ctrlProp384.xml><?xml version="1.0" encoding="utf-8"?>
<formControlPr xmlns="http://schemas.microsoft.com/office/spreadsheetml/2009/9/main" objectType="CheckBox" fmlaLink="$I$15" lockText="1" noThreeD="1"/>
</file>

<file path=xl/ctrlProps/ctrlProp385.xml><?xml version="1.0" encoding="utf-8"?>
<formControlPr xmlns="http://schemas.microsoft.com/office/spreadsheetml/2009/9/main" objectType="CheckBox" fmlaLink="$I$16" lockText="1" noThreeD="1"/>
</file>

<file path=xl/ctrlProps/ctrlProp386.xml><?xml version="1.0" encoding="utf-8"?>
<formControlPr xmlns="http://schemas.microsoft.com/office/spreadsheetml/2009/9/main" objectType="CheckBox" fmlaLink="$I$17" lockText="1" noThreeD="1"/>
</file>

<file path=xl/ctrlProps/ctrlProp387.xml><?xml version="1.0" encoding="utf-8"?>
<formControlPr xmlns="http://schemas.microsoft.com/office/spreadsheetml/2009/9/main" objectType="CheckBox" fmlaLink="$I$18" lockText="1" noThreeD="1"/>
</file>

<file path=xl/ctrlProps/ctrlProp388.xml><?xml version="1.0" encoding="utf-8"?>
<formControlPr xmlns="http://schemas.microsoft.com/office/spreadsheetml/2009/9/main" objectType="CheckBox" fmlaLink="$I$19" lockText="1" noThreeD="1"/>
</file>

<file path=xl/ctrlProps/ctrlProp389.xml><?xml version="1.0" encoding="utf-8"?>
<formControlPr xmlns="http://schemas.microsoft.com/office/spreadsheetml/2009/9/main" objectType="CheckBox" fmlaLink="$I$9" lockText="1" noThreeD="1"/>
</file>

<file path=xl/ctrlProps/ctrlProp390.xml><?xml version="1.0" encoding="utf-8"?>
<formControlPr xmlns="http://schemas.microsoft.com/office/spreadsheetml/2009/9/main" objectType="CheckBox" fmlaLink="$I$10" lockText="1" noThreeD="1"/>
</file>

<file path=xl/ctrlProps/ctrlProp391.xml><?xml version="1.0" encoding="utf-8"?>
<formControlPr xmlns="http://schemas.microsoft.com/office/spreadsheetml/2009/9/main" objectType="CheckBox" fmlaLink="$I$11" lockText="1" noThreeD="1"/>
</file>

<file path=xl/ctrlProps/ctrlProp392.xml><?xml version="1.0" encoding="utf-8"?>
<formControlPr xmlns="http://schemas.microsoft.com/office/spreadsheetml/2009/9/main" objectType="CheckBox" fmlaLink="$I$12" lockText="1" noThreeD="1"/>
</file>

<file path=xl/ctrlProps/ctrlProp393.xml><?xml version="1.0" encoding="utf-8"?>
<formControlPr xmlns="http://schemas.microsoft.com/office/spreadsheetml/2009/9/main" objectType="CheckBox" fmlaLink="$I$13" lockText="1" noThreeD="1"/>
</file>

<file path=xl/ctrlProps/ctrlProp394.xml><?xml version="1.0" encoding="utf-8"?>
<formControlPr xmlns="http://schemas.microsoft.com/office/spreadsheetml/2009/9/main" objectType="CheckBox" fmlaLink="$I$14" lockText="1" noThreeD="1"/>
</file>

<file path=xl/ctrlProps/ctrlProp395.xml><?xml version="1.0" encoding="utf-8"?>
<formControlPr xmlns="http://schemas.microsoft.com/office/spreadsheetml/2009/9/main" objectType="CheckBox" fmlaLink="$I$15" lockText="1" noThreeD="1"/>
</file>

<file path=xl/ctrlProps/ctrlProp396.xml><?xml version="1.0" encoding="utf-8"?>
<formControlPr xmlns="http://schemas.microsoft.com/office/spreadsheetml/2009/9/main" objectType="CheckBox" fmlaLink="$I$16" lockText="1" noThreeD="1"/>
</file>

<file path=xl/ctrlProps/ctrlProp397.xml><?xml version="1.0" encoding="utf-8"?>
<formControlPr xmlns="http://schemas.microsoft.com/office/spreadsheetml/2009/9/main" objectType="CheckBox" fmlaLink="$I$17" lockText="1" noThreeD="1"/>
</file>

<file path=xl/ctrlProps/ctrlProp398.xml><?xml version="1.0" encoding="utf-8"?>
<formControlPr xmlns="http://schemas.microsoft.com/office/spreadsheetml/2009/9/main" objectType="CheckBox" fmlaLink="$I$18" lockText="1" noThreeD="1"/>
</file>

<file path=xl/ctrlProps/ctrlProp399.xml><?xml version="1.0" encoding="utf-8"?>
<formControlPr xmlns="http://schemas.microsoft.com/office/spreadsheetml/2009/9/main" objectType="CheckBox" fmlaLink="$I$19" lockText="1" noThreeD="1"/>
</file>

<file path=xl/ctrlProps/ctrlProp400.xml><?xml version="1.0" encoding="utf-8"?>
<formControlPr xmlns="http://schemas.microsoft.com/office/spreadsheetml/2009/9/main" objectType="CheckBox" fmlaLink="$I$9" lockText="1" noThreeD="1"/>
</file>

<file path=xl/ctrlProps/ctrlProp401.xml><?xml version="1.0" encoding="utf-8"?>
<formControlPr xmlns="http://schemas.microsoft.com/office/spreadsheetml/2009/9/main" objectType="CheckBox" fmlaLink="$I$10" lockText="1" noThreeD="1"/>
</file>

<file path=xl/ctrlProps/ctrlProp402.xml><?xml version="1.0" encoding="utf-8"?>
<formControlPr xmlns="http://schemas.microsoft.com/office/spreadsheetml/2009/9/main" objectType="CheckBox" fmlaLink="$I$11" lockText="1" noThreeD="1"/>
</file>

<file path=xl/ctrlProps/ctrlProp403.xml><?xml version="1.0" encoding="utf-8"?>
<formControlPr xmlns="http://schemas.microsoft.com/office/spreadsheetml/2009/9/main" objectType="CheckBox" fmlaLink="$I$12" lockText="1" noThreeD="1"/>
</file>

<file path=xl/ctrlProps/ctrlProp404.xml><?xml version="1.0" encoding="utf-8"?>
<formControlPr xmlns="http://schemas.microsoft.com/office/spreadsheetml/2009/9/main" objectType="CheckBox" fmlaLink="$I$13" lockText="1" noThreeD="1"/>
</file>

<file path=xl/ctrlProps/ctrlProp405.xml><?xml version="1.0" encoding="utf-8"?>
<formControlPr xmlns="http://schemas.microsoft.com/office/spreadsheetml/2009/9/main" objectType="CheckBox" fmlaLink="$I$14" lockText="1" noThreeD="1"/>
</file>

<file path=xl/ctrlProps/ctrlProp406.xml><?xml version="1.0" encoding="utf-8"?>
<formControlPr xmlns="http://schemas.microsoft.com/office/spreadsheetml/2009/9/main" objectType="CheckBox" fmlaLink="$I$15" lockText="1" noThreeD="1"/>
</file>

<file path=xl/ctrlProps/ctrlProp407.xml><?xml version="1.0" encoding="utf-8"?>
<formControlPr xmlns="http://schemas.microsoft.com/office/spreadsheetml/2009/9/main" objectType="CheckBox" fmlaLink="$I$16" lockText="1" noThreeD="1"/>
</file>

<file path=xl/ctrlProps/ctrlProp408.xml><?xml version="1.0" encoding="utf-8"?>
<formControlPr xmlns="http://schemas.microsoft.com/office/spreadsheetml/2009/9/main" objectType="CheckBox" fmlaLink="$I$17" lockText="1" noThreeD="1"/>
</file>

<file path=xl/ctrlProps/ctrlProp409.xml><?xml version="1.0" encoding="utf-8"?>
<formControlPr xmlns="http://schemas.microsoft.com/office/spreadsheetml/2009/9/main" objectType="CheckBox" fmlaLink="$I$18" lockText="1" noThreeD="1"/>
</file>

<file path=xl/ctrlProps/ctrlProp410.xml><?xml version="1.0" encoding="utf-8"?>
<formControlPr xmlns="http://schemas.microsoft.com/office/spreadsheetml/2009/9/main" objectType="CheckBox" fmlaLink="$I$19" lockText="1" noThreeD="1"/>
</file>

<file path=xl/ctrlProps/ctrlProp411.xml><?xml version="1.0" encoding="utf-8"?>
<formControlPr xmlns="http://schemas.microsoft.com/office/spreadsheetml/2009/9/main" objectType="CheckBox" fmlaLink="$I$9" lockText="1" noThreeD="1"/>
</file>

<file path=xl/ctrlProps/ctrlProp412.xml><?xml version="1.0" encoding="utf-8"?>
<formControlPr xmlns="http://schemas.microsoft.com/office/spreadsheetml/2009/9/main" objectType="CheckBox" fmlaLink="$I$10" lockText="1" noThreeD="1"/>
</file>

<file path=xl/ctrlProps/ctrlProp413.xml><?xml version="1.0" encoding="utf-8"?>
<formControlPr xmlns="http://schemas.microsoft.com/office/spreadsheetml/2009/9/main" objectType="CheckBox" fmlaLink="$I$11" lockText="1" noThreeD="1"/>
</file>

<file path=xl/ctrlProps/ctrlProp414.xml><?xml version="1.0" encoding="utf-8"?>
<formControlPr xmlns="http://schemas.microsoft.com/office/spreadsheetml/2009/9/main" objectType="CheckBox" fmlaLink="$I$12" lockText="1" noThreeD="1"/>
</file>

<file path=xl/ctrlProps/ctrlProp415.xml><?xml version="1.0" encoding="utf-8"?>
<formControlPr xmlns="http://schemas.microsoft.com/office/spreadsheetml/2009/9/main" objectType="CheckBox" fmlaLink="$I$13" lockText="1" noThreeD="1"/>
</file>

<file path=xl/ctrlProps/ctrlProp416.xml><?xml version="1.0" encoding="utf-8"?>
<formControlPr xmlns="http://schemas.microsoft.com/office/spreadsheetml/2009/9/main" objectType="CheckBox" fmlaLink="$I$14" lockText="1" noThreeD="1"/>
</file>

<file path=xl/ctrlProps/ctrlProp417.xml><?xml version="1.0" encoding="utf-8"?>
<formControlPr xmlns="http://schemas.microsoft.com/office/spreadsheetml/2009/9/main" objectType="CheckBox" fmlaLink="$I$15" lockText="1" noThreeD="1"/>
</file>

<file path=xl/ctrlProps/ctrlProp418.xml><?xml version="1.0" encoding="utf-8"?>
<formControlPr xmlns="http://schemas.microsoft.com/office/spreadsheetml/2009/9/main" objectType="CheckBox" fmlaLink="$I$16" lockText="1" noThreeD="1"/>
</file>

<file path=xl/ctrlProps/ctrlProp419.xml><?xml version="1.0" encoding="utf-8"?>
<formControlPr xmlns="http://schemas.microsoft.com/office/spreadsheetml/2009/9/main" objectType="CheckBox" fmlaLink="$I$17" lockText="1" noThreeD="1"/>
</file>

<file path=xl/ctrlProps/ctrlProp420.xml><?xml version="1.0" encoding="utf-8"?>
<formControlPr xmlns="http://schemas.microsoft.com/office/spreadsheetml/2009/9/main" objectType="CheckBox" fmlaLink="$I$18" lockText="1" noThreeD="1"/>
</file>

<file path=xl/ctrlProps/ctrlProp421.xml><?xml version="1.0" encoding="utf-8"?>
<formControlPr xmlns="http://schemas.microsoft.com/office/spreadsheetml/2009/9/main" objectType="CheckBox" fmlaLink="$I$19" lockText="1" noThreeD="1"/>
</file>

<file path=xl/ctrlProps/ctrlProp422.xml><?xml version="1.0" encoding="utf-8"?>
<formControlPr xmlns="http://schemas.microsoft.com/office/spreadsheetml/2009/9/main" objectType="CheckBox" fmlaLink="$I$9" lockText="1" noThreeD="1"/>
</file>

<file path=xl/ctrlProps/ctrlProp423.xml><?xml version="1.0" encoding="utf-8"?>
<formControlPr xmlns="http://schemas.microsoft.com/office/spreadsheetml/2009/9/main" objectType="CheckBox" fmlaLink="$I$10" lockText="1" noThreeD="1"/>
</file>

<file path=xl/ctrlProps/ctrlProp424.xml><?xml version="1.0" encoding="utf-8"?>
<formControlPr xmlns="http://schemas.microsoft.com/office/spreadsheetml/2009/9/main" objectType="CheckBox" fmlaLink="$I$11" lockText="1" noThreeD="1"/>
</file>

<file path=xl/ctrlProps/ctrlProp425.xml><?xml version="1.0" encoding="utf-8"?>
<formControlPr xmlns="http://schemas.microsoft.com/office/spreadsheetml/2009/9/main" objectType="CheckBox" fmlaLink="$I$12" lockText="1" noThreeD="1"/>
</file>

<file path=xl/ctrlProps/ctrlProp426.xml><?xml version="1.0" encoding="utf-8"?>
<formControlPr xmlns="http://schemas.microsoft.com/office/spreadsheetml/2009/9/main" objectType="CheckBox" fmlaLink="$I$13" lockText="1" noThreeD="1"/>
</file>

<file path=xl/ctrlProps/ctrlProp427.xml><?xml version="1.0" encoding="utf-8"?>
<formControlPr xmlns="http://schemas.microsoft.com/office/spreadsheetml/2009/9/main" objectType="CheckBox" fmlaLink="$I$14" lockText="1" noThreeD="1"/>
</file>

<file path=xl/ctrlProps/ctrlProp428.xml><?xml version="1.0" encoding="utf-8"?>
<formControlPr xmlns="http://schemas.microsoft.com/office/spreadsheetml/2009/9/main" objectType="CheckBox" fmlaLink="$I$15" lockText="1" noThreeD="1"/>
</file>

<file path=xl/ctrlProps/ctrlProp429.xml><?xml version="1.0" encoding="utf-8"?>
<formControlPr xmlns="http://schemas.microsoft.com/office/spreadsheetml/2009/9/main" objectType="CheckBox" fmlaLink="$I$16" lockText="1" noThreeD="1"/>
</file>

<file path=xl/ctrlProps/ctrlProp430.xml><?xml version="1.0" encoding="utf-8"?>
<formControlPr xmlns="http://schemas.microsoft.com/office/spreadsheetml/2009/9/main" objectType="CheckBox" fmlaLink="$I$17" lockText="1" noThreeD="1"/>
</file>

<file path=xl/ctrlProps/ctrlProp431.xml><?xml version="1.0" encoding="utf-8"?>
<formControlPr xmlns="http://schemas.microsoft.com/office/spreadsheetml/2009/9/main" objectType="CheckBox" fmlaLink="$I$18" lockText="1" noThreeD="1"/>
</file>

<file path=xl/ctrlProps/ctrlProp432.xml><?xml version="1.0" encoding="utf-8"?>
<formControlPr xmlns="http://schemas.microsoft.com/office/spreadsheetml/2009/9/main" objectType="CheckBox" fmlaLink="$I$19" lockText="1" noThreeD="1"/>
</file>

<file path=xl/ctrlProps/ctrlProp433.xml><?xml version="1.0" encoding="utf-8"?>
<formControlPr xmlns="http://schemas.microsoft.com/office/spreadsheetml/2009/9/main" objectType="CheckBox" fmlaLink="$I$9" lockText="1" noThreeD="1"/>
</file>

<file path=xl/ctrlProps/ctrlProp434.xml><?xml version="1.0" encoding="utf-8"?>
<formControlPr xmlns="http://schemas.microsoft.com/office/spreadsheetml/2009/9/main" objectType="CheckBox" fmlaLink="$I$10" lockText="1" noThreeD="1"/>
</file>

<file path=xl/ctrlProps/ctrlProp435.xml><?xml version="1.0" encoding="utf-8"?>
<formControlPr xmlns="http://schemas.microsoft.com/office/spreadsheetml/2009/9/main" objectType="CheckBox" fmlaLink="$I$11" lockText="1" noThreeD="1"/>
</file>

<file path=xl/ctrlProps/ctrlProp436.xml><?xml version="1.0" encoding="utf-8"?>
<formControlPr xmlns="http://schemas.microsoft.com/office/spreadsheetml/2009/9/main" objectType="CheckBox" fmlaLink="$I$12" lockText="1" noThreeD="1"/>
</file>

<file path=xl/ctrlProps/ctrlProp437.xml><?xml version="1.0" encoding="utf-8"?>
<formControlPr xmlns="http://schemas.microsoft.com/office/spreadsheetml/2009/9/main" objectType="CheckBox" fmlaLink="$I$13" lockText="1" noThreeD="1"/>
</file>

<file path=xl/ctrlProps/ctrlProp438.xml><?xml version="1.0" encoding="utf-8"?>
<formControlPr xmlns="http://schemas.microsoft.com/office/spreadsheetml/2009/9/main" objectType="CheckBox" fmlaLink="$I$14" lockText="1" noThreeD="1"/>
</file>

<file path=xl/ctrlProps/ctrlProp439.xml><?xml version="1.0" encoding="utf-8"?>
<formControlPr xmlns="http://schemas.microsoft.com/office/spreadsheetml/2009/9/main" objectType="CheckBox" fmlaLink="$I$15" lockText="1" noThreeD="1"/>
</file>

<file path=xl/ctrlProps/ctrlProp440.xml><?xml version="1.0" encoding="utf-8"?>
<formControlPr xmlns="http://schemas.microsoft.com/office/spreadsheetml/2009/9/main" objectType="CheckBox" fmlaLink="$I$16" lockText="1" noThreeD="1"/>
</file>

<file path=xl/ctrlProps/ctrlProp441.xml><?xml version="1.0" encoding="utf-8"?>
<formControlPr xmlns="http://schemas.microsoft.com/office/spreadsheetml/2009/9/main" objectType="CheckBox" fmlaLink="$I$17" lockText="1" noThreeD="1"/>
</file>

<file path=xl/ctrlProps/ctrlProp442.xml><?xml version="1.0" encoding="utf-8"?>
<formControlPr xmlns="http://schemas.microsoft.com/office/spreadsheetml/2009/9/main" objectType="CheckBox" fmlaLink="$I$18" lockText="1" noThreeD="1"/>
</file>

<file path=xl/ctrlProps/ctrlProp443.xml><?xml version="1.0" encoding="utf-8"?>
<formControlPr xmlns="http://schemas.microsoft.com/office/spreadsheetml/2009/9/main" objectType="CheckBox" fmlaLink="$I$19" lockText="1" noThreeD="1"/>
</file>

<file path=xl/ctrlProps/ctrlProp444.xml><?xml version="1.0" encoding="utf-8"?>
<formControlPr xmlns="http://schemas.microsoft.com/office/spreadsheetml/2009/9/main" objectType="CheckBox" fmlaLink="$I$9" lockText="1" noThreeD="1"/>
</file>

<file path=xl/ctrlProps/ctrlProp445.xml><?xml version="1.0" encoding="utf-8"?>
<formControlPr xmlns="http://schemas.microsoft.com/office/spreadsheetml/2009/9/main" objectType="CheckBox" fmlaLink="$I$10" lockText="1" noThreeD="1"/>
</file>

<file path=xl/ctrlProps/ctrlProp446.xml><?xml version="1.0" encoding="utf-8"?>
<formControlPr xmlns="http://schemas.microsoft.com/office/spreadsheetml/2009/9/main" objectType="CheckBox" fmlaLink="$I$11" lockText="1" noThreeD="1"/>
</file>

<file path=xl/ctrlProps/ctrlProp447.xml><?xml version="1.0" encoding="utf-8"?>
<formControlPr xmlns="http://schemas.microsoft.com/office/spreadsheetml/2009/9/main" objectType="CheckBox" fmlaLink="$I$12" lockText="1" noThreeD="1"/>
</file>

<file path=xl/ctrlProps/ctrlProp448.xml><?xml version="1.0" encoding="utf-8"?>
<formControlPr xmlns="http://schemas.microsoft.com/office/spreadsheetml/2009/9/main" objectType="CheckBox" fmlaLink="$I$13" lockText="1" noThreeD="1"/>
</file>

<file path=xl/ctrlProps/ctrlProp449.xml><?xml version="1.0" encoding="utf-8"?>
<formControlPr xmlns="http://schemas.microsoft.com/office/spreadsheetml/2009/9/main" objectType="CheckBox" fmlaLink="$I$14" lockText="1" noThreeD="1"/>
</file>

<file path=xl/ctrlProps/ctrlProp450.xml><?xml version="1.0" encoding="utf-8"?>
<formControlPr xmlns="http://schemas.microsoft.com/office/spreadsheetml/2009/9/main" objectType="CheckBox" fmlaLink="$I$15" lockText="1" noThreeD="1"/>
</file>

<file path=xl/ctrlProps/ctrlProp451.xml><?xml version="1.0" encoding="utf-8"?>
<formControlPr xmlns="http://schemas.microsoft.com/office/spreadsheetml/2009/9/main" objectType="CheckBox" fmlaLink="$I$16" lockText="1" noThreeD="1"/>
</file>

<file path=xl/ctrlProps/ctrlProp452.xml><?xml version="1.0" encoding="utf-8"?>
<formControlPr xmlns="http://schemas.microsoft.com/office/spreadsheetml/2009/9/main" objectType="CheckBox" fmlaLink="$I$17" lockText="1" noThreeD="1"/>
</file>

<file path=xl/ctrlProps/ctrlProp453.xml><?xml version="1.0" encoding="utf-8"?>
<formControlPr xmlns="http://schemas.microsoft.com/office/spreadsheetml/2009/9/main" objectType="CheckBox" fmlaLink="$I$18" lockText="1" noThreeD="1"/>
</file>

<file path=xl/ctrlProps/ctrlProp454.xml><?xml version="1.0" encoding="utf-8"?>
<formControlPr xmlns="http://schemas.microsoft.com/office/spreadsheetml/2009/9/main" objectType="CheckBox" fmlaLink="$I$19" lockText="1" noThreeD="1"/>
</file>

<file path=xl/ctrlProps/ctrlProp455.xml><?xml version="1.0" encoding="utf-8"?>
<formControlPr xmlns="http://schemas.microsoft.com/office/spreadsheetml/2009/9/main" objectType="CheckBox" fmlaLink="$I$9" lockText="1" noThreeD="1"/>
</file>

<file path=xl/ctrlProps/ctrlProp456.xml><?xml version="1.0" encoding="utf-8"?>
<formControlPr xmlns="http://schemas.microsoft.com/office/spreadsheetml/2009/9/main" objectType="CheckBox" fmlaLink="$I$10" lockText="1" noThreeD="1"/>
</file>

<file path=xl/ctrlProps/ctrlProp457.xml><?xml version="1.0" encoding="utf-8"?>
<formControlPr xmlns="http://schemas.microsoft.com/office/spreadsheetml/2009/9/main" objectType="CheckBox" fmlaLink="$I$11" lockText="1" noThreeD="1"/>
</file>

<file path=xl/ctrlProps/ctrlProp458.xml><?xml version="1.0" encoding="utf-8"?>
<formControlPr xmlns="http://schemas.microsoft.com/office/spreadsheetml/2009/9/main" objectType="CheckBox" fmlaLink="$I$12" lockText="1" noThreeD="1"/>
</file>

<file path=xl/ctrlProps/ctrlProp459.xml><?xml version="1.0" encoding="utf-8"?>
<formControlPr xmlns="http://schemas.microsoft.com/office/spreadsheetml/2009/9/main" objectType="CheckBox" fmlaLink="$I$13" lockText="1" noThreeD="1"/>
</file>

<file path=xl/ctrlProps/ctrlProp460.xml><?xml version="1.0" encoding="utf-8"?>
<formControlPr xmlns="http://schemas.microsoft.com/office/spreadsheetml/2009/9/main" objectType="CheckBox" fmlaLink="$I$14" lockText="1" noThreeD="1"/>
</file>

<file path=xl/ctrlProps/ctrlProp461.xml><?xml version="1.0" encoding="utf-8"?>
<formControlPr xmlns="http://schemas.microsoft.com/office/spreadsheetml/2009/9/main" objectType="CheckBox" fmlaLink="$I$15" lockText="1" noThreeD="1"/>
</file>

<file path=xl/ctrlProps/ctrlProp462.xml><?xml version="1.0" encoding="utf-8"?>
<formControlPr xmlns="http://schemas.microsoft.com/office/spreadsheetml/2009/9/main" objectType="CheckBox" fmlaLink="$I$16" lockText="1" noThreeD="1"/>
</file>

<file path=xl/ctrlProps/ctrlProp463.xml><?xml version="1.0" encoding="utf-8"?>
<formControlPr xmlns="http://schemas.microsoft.com/office/spreadsheetml/2009/9/main" objectType="CheckBox" fmlaLink="$I$17" lockText="1" noThreeD="1"/>
</file>

<file path=xl/ctrlProps/ctrlProp464.xml><?xml version="1.0" encoding="utf-8"?>
<formControlPr xmlns="http://schemas.microsoft.com/office/spreadsheetml/2009/9/main" objectType="CheckBox" fmlaLink="$I$18" lockText="1" noThreeD="1"/>
</file>

<file path=xl/ctrlProps/ctrlProp465.xml><?xml version="1.0" encoding="utf-8"?>
<formControlPr xmlns="http://schemas.microsoft.com/office/spreadsheetml/2009/9/main" objectType="CheckBox" fmlaLink="$I$19" lockText="1" noThreeD="1"/>
</file>

<file path=xl/ctrlProps/ctrlProp466.xml><?xml version="1.0" encoding="utf-8"?>
<formControlPr xmlns="http://schemas.microsoft.com/office/spreadsheetml/2009/9/main" objectType="CheckBox" fmlaLink="$I$9" lockText="1" noThreeD="1"/>
</file>

<file path=xl/ctrlProps/ctrlProp467.xml><?xml version="1.0" encoding="utf-8"?>
<formControlPr xmlns="http://schemas.microsoft.com/office/spreadsheetml/2009/9/main" objectType="CheckBox" fmlaLink="$I$10" lockText="1" noThreeD="1"/>
</file>

<file path=xl/ctrlProps/ctrlProp468.xml><?xml version="1.0" encoding="utf-8"?>
<formControlPr xmlns="http://schemas.microsoft.com/office/spreadsheetml/2009/9/main" objectType="CheckBox" fmlaLink="$I$11" lockText="1" noThreeD="1"/>
</file>

<file path=xl/ctrlProps/ctrlProp469.xml><?xml version="1.0" encoding="utf-8"?>
<formControlPr xmlns="http://schemas.microsoft.com/office/spreadsheetml/2009/9/main" objectType="CheckBox" fmlaLink="$I$12" lockText="1" noThreeD="1"/>
</file>

<file path=xl/ctrlProps/ctrlProp470.xml><?xml version="1.0" encoding="utf-8"?>
<formControlPr xmlns="http://schemas.microsoft.com/office/spreadsheetml/2009/9/main" objectType="CheckBox" fmlaLink="$I$13" lockText="1" noThreeD="1"/>
</file>

<file path=xl/ctrlProps/ctrlProp471.xml><?xml version="1.0" encoding="utf-8"?>
<formControlPr xmlns="http://schemas.microsoft.com/office/spreadsheetml/2009/9/main" objectType="CheckBox" fmlaLink="$I$14" lockText="1" noThreeD="1"/>
</file>

<file path=xl/ctrlProps/ctrlProp472.xml><?xml version="1.0" encoding="utf-8"?>
<formControlPr xmlns="http://schemas.microsoft.com/office/spreadsheetml/2009/9/main" objectType="CheckBox" fmlaLink="$I$15" lockText="1" noThreeD="1"/>
</file>

<file path=xl/ctrlProps/ctrlProp473.xml><?xml version="1.0" encoding="utf-8"?>
<formControlPr xmlns="http://schemas.microsoft.com/office/spreadsheetml/2009/9/main" objectType="CheckBox" fmlaLink="$I$16" lockText="1" noThreeD="1"/>
</file>

<file path=xl/ctrlProps/ctrlProp474.xml><?xml version="1.0" encoding="utf-8"?>
<formControlPr xmlns="http://schemas.microsoft.com/office/spreadsheetml/2009/9/main" objectType="CheckBox" fmlaLink="$I$17" lockText="1" noThreeD="1"/>
</file>

<file path=xl/ctrlProps/ctrlProp475.xml><?xml version="1.0" encoding="utf-8"?>
<formControlPr xmlns="http://schemas.microsoft.com/office/spreadsheetml/2009/9/main" objectType="CheckBox" fmlaLink="$I$18" lockText="1" noThreeD="1"/>
</file>

<file path=xl/ctrlProps/ctrlProp476.xml><?xml version="1.0" encoding="utf-8"?>
<formControlPr xmlns="http://schemas.microsoft.com/office/spreadsheetml/2009/9/main" objectType="CheckBox" fmlaLink="$I$19" lockText="1" noThreeD="1"/>
</file>

<file path=xl/ctrlProps/ctrlProp477.xml><?xml version="1.0" encoding="utf-8"?>
<formControlPr xmlns="http://schemas.microsoft.com/office/spreadsheetml/2009/9/main" objectType="CheckBox" fmlaLink="$I$9" lockText="1" noThreeD="1"/>
</file>

<file path=xl/ctrlProps/ctrlProp478.xml><?xml version="1.0" encoding="utf-8"?>
<formControlPr xmlns="http://schemas.microsoft.com/office/spreadsheetml/2009/9/main" objectType="CheckBox" fmlaLink="$I$10" lockText="1" noThreeD="1"/>
</file>

<file path=xl/ctrlProps/ctrlProp479.xml><?xml version="1.0" encoding="utf-8"?>
<formControlPr xmlns="http://schemas.microsoft.com/office/spreadsheetml/2009/9/main" objectType="CheckBox" fmlaLink="$I$11" lockText="1" noThreeD="1"/>
</file>

<file path=xl/ctrlProps/ctrlProp480.xml><?xml version="1.0" encoding="utf-8"?>
<formControlPr xmlns="http://schemas.microsoft.com/office/spreadsheetml/2009/9/main" objectType="CheckBox" fmlaLink="$I$12" lockText="1" noThreeD="1"/>
</file>

<file path=xl/ctrlProps/ctrlProp481.xml><?xml version="1.0" encoding="utf-8"?>
<formControlPr xmlns="http://schemas.microsoft.com/office/spreadsheetml/2009/9/main" objectType="CheckBox" fmlaLink="$I$13" lockText="1" noThreeD="1"/>
</file>

<file path=xl/ctrlProps/ctrlProp482.xml><?xml version="1.0" encoding="utf-8"?>
<formControlPr xmlns="http://schemas.microsoft.com/office/spreadsheetml/2009/9/main" objectType="CheckBox" fmlaLink="$I$14" lockText="1" noThreeD="1"/>
</file>

<file path=xl/ctrlProps/ctrlProp483.xml><?xml version="1.0" encoding="utf-8"?>
<formControlPr xmlns="http://schemas.microsoft.com/office/spreadsheetml/2009/9/main" objectType="CheckBox" fmlaLink="$I$15" lockText="1" noThreeD="1"/>
</file>

<file path=xl/ctrlProps/ctrlProp484.xml><?xml version="1.0" encoding="utf-8"?>
<formControlPr xmlns="http://schemas.microsoft.com/office/spreadsheetml/2009/9/main" objectType="CheckBox" fmlaLink="$I$16" lockText="1" noThreeD="1"/>
</file>

<file path=xl/ctrlProps/ctrlProp485.xml><?xml version="1.0" encoding="utf-8"?>
<formControlPr xmlns="http://schemas.microsoft.com/office/spreadsheetml/2009/9/main" objectType="CheckBox" fmlaLink="$I$17" lockText="1" noThreeD="1"/>
</file>

<file path=xl/ctrlProps/ctrlProp486.xml><?xml version="1.0" encoding="utf-8"?>
<formControlPr xmlns="http://schemas.microsoft.com/office/spreadsheetml/2009/9/main" objectType="CheckBox" fmlaLink="$I$18" lockText="1" noThreeD="1"/>
</file>

<file path=xl/ctrlProps/ctrlProp487.xml><?xml version="1.0" encoding="utf-8"?>
<formControlPr xmlns="http://schemas.microsoft.com/office/spreadsheetml/2009/9/main" objectType="CheckBox" fmlaLink="$I$19" lockText="1" noThreeD="1"/>
</file>

<file path=xl/ctrlProps/ctrlProp488.xml><?xml version="1.0" encoding="utf-8"?>
<formControlPr xmlns="http://schemas.microsoft.com/office/spreadsheetml/2009/9/main" objectType="CheckBox" fmlaLink="$I$9" lockText="1" noThreeD="1"/>
</file>

<file path=xl/ctrlProps/ctrlProp489.xml><?xml version="1.0" encoding="utf-8"?>
<formControlPr xmlns="http://schemas.microsoft.com/office/spreadsheetml/2009/9/main" objectType="CheckBox" fmlaLink="$I$10" lockText="1" noThreeD="1"/>
</file>

<file path=xl/ctrlProps/ctrlProp490.xml><?xml version="1.0" encoding="utf-8"?>
<formControlPr xmlns="http://schemas.microsoft.com/office/spreadsheetml/2009/9/main" objectType="CheckBox" fmlaLink="$I$11" lockText="1" noThreeD="1"/>
</file>

<file path=xl/ctrlProps/ctrlProp491.xml><?xml version="1.0" encoding="utf-8"?>
<formControlPr xmlns="http://schemas.microsoft.com/office/spreadsheetml/2009/9/main" objectType="CheckBox" fmlaLink="$I$12" lockText="1" noThreeD="1"/>
</file>

<file path=xl/ctrlProps/ctrlProp492.xml><?xml version="1.0" encoding="utf-8"?>
<formControlPr xmlns="http://schemas.microsoft.com/office/spreadsheetml/2009/9/main" objectType="CheckBox" fmlaLink="$I$13" lockText="1" noThreeD="1"/>
</file>

<file path=xl/ctrlProps/ctrlProp493.xml><?xml version="1.0" encoding="utf-8"?>
<formControlPr xmlns="http://schemas.microsoft.com/office/spreadsheetml/2009/9/main" objectType="CheckBox" fmlaLink="$I$14" lockText="1" noThreeD="1"/>
</file>

<file path=xl/ctrlProps/ctrlProp494.xml><?xml version="1.0" encoding="utf-8"?>
<formControlPr xmlns="http://schemas.microsoft.com/office/spreadsheetml/2009/9/main" objectType="CheckBox" fmlaLink="$I$15" lockText="1" noThreeD="1"/>
</file>

<file path=xl/ctrlProps/ctrlProp495.xml><?xml version="1.0" encoding="utf-8"?>
<formControlPr xmlns="http://schemas.microsoft.com/office/spreadsheetml/2009/9/main" objectType="CheckBox" fmlaLink="$I$16" lockText="1" noThreeD="1"/>
</file>

<file path=xl/ctrlProps/ctrlProp496.xml><?xml version="1.0" encoding="utf-8"?>
<formControlPr xmlns="http://schemas.microsoft.com/office/spreadsheetml/2009/9/main" objectType="CheckBox" fmlaLink="$I$17" lockText="1" noThreeD="1"/>
</file>

<file path=xl/ctrlProps/ctrlProp497.xml><?xml version="1.0" encoding="utf-8"?>
<formControlPr xmlns="http://schemas.microsoft.com/office/spreadsheetml/2009/9/main" objectType="CheckBox" fmlaLink="$I$18" lockText="1" noThreeD="1"/>
</file>

<file path=xl/ctrlProps/ctrlProp498.xml><?xml version="1.0" encoding="utf-8"?>
<formControlPr xmlns="http://schemas.microsoft.com/office/spreadsheetml/2009/9/main" objectType="CheckBox" fmlaLink="$I$19" lockText="1" noThreeD="1"/>
</file>

<file path=xl/ctrlProps/ctrlProp499.xml><?xml version="1.0" encoding="utf-8"?>
<formControlPr xmlns="http://schemas.microsoft.com/office/spreadsheetml/2009/9/main" objectType="CheckBox" fmlaLink="$I$9" lockText="1" noThreeD="1"/>
</file>

<file path=xl/ctrlProps/ctrlProp500.xml><?xml version="1.0" encoding="utf-8"?>
<formControlPr xmlns="http://schemas.microsoft.com/office/spreadsheetml/2009/9/main" objectType="CheckBox" fmlaLink="$I$10" lockText="1" noThreeD="1"/>
</file>

<file path=xl/ctrlProps/ctrlProp501.xml><?xml version="1.0" encoding="utf-8"?>
<formControlPr xmlns="http://schemas.microsoft.com/office/spreadsheetml/2009/9/main" objectType="CheckBox" fmlaLink="$I$11" lockText="1" noThreeD="1"/>
</file>

<file path=xl/ctrlProps/ctrlProp502.xml><?xml version="1.0" encoding="utf-8"?>
<formControlPr xmlns="http://schemas.microsoft.com/office/spreadsheetml/2009/9/main" objectType="CheckBox" fmlaLink="$I$12" lockText="1" noThreeD="1"/>
</file>

<file path=xl/ctrlProps/ctrlProp503.xml><?xml version="1.0" encoding="utf-8"?>
<formControlPr xmlns="http://schemas.microsoft.com/office/spreadsheetml/2009/9/main" objectType="CheckBox" fmlaLink="$I$13" lockText="1" noThreeD="1"/>
</file>

<file path=xl/ctrlProps/ctrlProp504.xml><?xml version="1.0" encoding="utf-8"?>
<formControlPr xmlns="http://schemas.microsoft.com/office/spreadsheetml/2009/9/main" objectType="CheckBox" fmlaLink="$I$14" lockText="1" noThreeD="1"/>
</file>

<file path=xl/ctrlProps/ctrlProp505.xml><?xml version="1.0" encoding="utf-8"?>
<formControlPr xmlns="http://schemas.microsoft.com/office/spreadsheetml/2009/9/main" objectType="CheckBox" fmlaLink="$I$15" lockText="1" noThreeD="1"/>
</file>

<file path=xl/ctrlProps/ctrlProp506.xml><?xml version="1.0" encoding="utf-8"?>
<formControlPr xmlns="http://schemas.microsoft.com/office/spreadsheetml/2009/9/main" objectType="CheckBox" fmlaLink="$I$16" lockText="1" noThreeD="1"/>
</file>

<file path=xl/ctrlProps/ctrlProp507.xml><?xml version="1.0" encoding="utf-8"?>
<formControlPr xmlns="http://schemas.microsoft.com/office/spreadsheetml/2009/9/main" objectType="CheckBox" fmlaLink="$I$17" lockText="1" noThreeD="1"/>
</file>

<file path=xl/ctrlProps/ctrlProp508.xml><?xml version="1.0" encoding="utf-8"?>
<formControlPr xmlns="http://schemas.microsoft.com/office/spreadsheetml/2009/9/main" objectType="CheckBox" fmlaLink="$I$18" lockText="1" noThreeD="1"/>
</file>

<file path=xl/ctrlProps/ctrlProp509.xml><?xml version="1.0" encoding="utf-8"?>
<formControlPr xmlns="http://schemas.microsoft.com/office/spreadsheetml/2009/9/main" objectType="CheckBox" fmlaLink="$I$19" lockText="1" noThreeD="1"/>
</file>

<file path=xl/ctrlProps/ctrlProp510.xml><?xml version="1.0" encoding="utf-8"?>
<formControlPr xmlns="http://schemas.microsoft.com/office/spreadsheetml/2009/9/main" objectType="CheckBox" fmlaLink="$I$9" lockText="1" noThreeD="1"/>
</file>

<file path=xl/ctrlProps/ctrlProp511.xml><?xml version="1.0" encoding="utf-8"?>
<formControlPr xmlns="http://schemas.microsoft.com/office/spreadsheetml/2009/9/main" objectType="CheckBox" fmlaLink="$I$10" lockText="1" noThreeD="1"/>
</file>

<file path=xl/ctrlProps/ctrlProp512.xml><?xml version="1.0" encoding="utf-8"?>
<formControlPr xmlns="http://schemas.microsoft.com/office/spreadsheetml/2009/9/main" objectType="CheckBox" fmlaLink="$I$11" lockText="1" noThreeD="1"/>
</file>

<file path=xl/ctrlProps/ctrlProp513.xml><?xml version="1.0" encoding="utf-8"?>
<formControlPr xmlns="http://schemas.microsoft.com/office/spreadsheetml/2009/9/main" objectType="CheckBox" fmlaLink="$I$12" lockText="1" noThreeD="1"/>
</file>

<file path=xl/ctrlProps/ctrlProp514.xml><?xml version="1.0" encoding="utf-8"?>
<formControlPr xmlns="http://schemas.microsoft.com/office/spreadsheetml/2009/9/main" objectType="CheckBox" fmlaLink="$I$13" lockText="1" noThreeD="1"/>
</file>

<file path=xl/ctrlProps/ctrlProp515.xml><?xml version="1.0" encoding="utf-8"?>
<formControlPr xmlns="http://schemas.microsoft.com/office/spreadsheetml/2009/9/main" objectType="CheckBox" fmlaLink="$I$14" lockText="1" noThreeD="1"/>
</file>

<file path=xl/ctrlProps/ctrlProp516.xml><?xml version="1.0" encoding="utf-8"?>
<formControlPr xmlns="http://schemas.microsoft.com/office/spreadsheetml/2009/9/main" objectType="CheckBox" fmlaLink="$I$15" lockText="1" noThreeD="1"/>
</file>

<file path=xl/ctrlProps/ctrlProp517.xml><?xml version="1.0" encoding="utf-8"?>
<formControlPr xmlns="http://schemas.microsoft.com/office/spreadsheetml/2009/9/main" objectType="CheckBox" fmlaLink="$I$16" lockText="1" noThreeD="1"/>
</file>

<file path=xl/ctrlProps/ctrlProp518.xml><?xml version="1.0" encoding="utf-8"?>
<formControlPr xmlns="http://schemas.microsoft.com/office/spreadsheetml/2009/9/main" objectType="CheckBox" fmlaLink="$I$17" lockText="1" noThreeD="1"/>
</file>

<file path=xl/ctrlProps/ctrlProp519.xml><?xml version="1.0" encoding="utf-8"?>
<formControlPr xmlns="http://schemas.microsoft.com/office/spreadsheetml/2009/9/main" objectType="CheckBox" fmlaLink="$I$18" lockText="1" noThreeD="1"/>
</file>

<file path=xl/ctrlProps/ctrlProp520.xml><?xml version="1.0" encoding="utf-8"?>
<formControlPr xmlns="http://schemas.microsoft.com/office/spreadsheetml/2009/9/main" objectType="CheckBox" fmlaLink="$I$19" lockText="1" noThreeD="1"/>
</file>

<file path=xl/ctrlProps/ctrlProp521.xml><?xml version="1.0" encoding="utf-8"?>
<formControlPr xmlns="http://schemas.microsoft.com/office/spreadsheetml/2009/9/main" objectType="CheckBox" fmlaLink="$I$9" lockText="1" noThreeD="1"/>
</file>

<file path=xl/ctrlProps/ctrlProp522.xml><?xml version="1.0" encoding="utf-8"?>
<formControlPr xmlns="http://schemas.microsoft.com/office/spreadsheetml/2009/9/main" objectType="CheckBox" fmlaLink="$I$10" lockText="1" noThreeD="1"/>
</file>

<file path=xl/ctrlProps/ctrlProp523.xml><?xml version="1.0" encoding="utf-8"?>
<formControlPr xmlns="http://schemas.microsoft.com/office/spreadsheetml/2009/9/main" objectType="CheckBox" fmlaLink="$I$11" lockText="1" noThreeD="1"/>
</file>

<file path=xl/ctrlProps/ctrlProp524.xml><?xml version="1.0" encoding="utf-8"?>
<formControlPr xmlns="http://schemas.microsoft.com/office/spreadsheetml/2009/9/main" objectType="CheckBox" fmlaLink="$I$12" lockText="1" noThreeD="1"/>
</file>

<file path=xl/ctrlProps/ctrlProp525.xml><?xml version="1.0" encoding="utf-8"?>
<formControlPr xmlns="http://schemas.microsoft.com/office/spreadsheetml/2009/9/main" objectType="CheckBox" fmlaLink="$I$13" lockText="1" noThreeD="1"/>
</file>

<file path=xl/ctrlProps/ctrlProp526.xml><?xml version="1.0" encoding="utf-8"?>
<formControlPr xmlns="http://schemas.microsoft.com/office/spreadsheetml/2009/9/main" objectType="CheckBox" fmlaLink="$I$14" lockText="1" noThreeD="1"/>
</file>

<file path=xl/ctrlProps/ctrlProp527.xml><?xml version="1.0" encoding="utf-8"?>
<formControlPr xmlns="http://schemas.microsoft.com/office/spreadsheetml/2009/9/main" objectType="CheckBox" fmlaLink="$I$15" lockText="1" noThreeD="1"/>
</file>

<file path=xl/ctrlProps/ctrlProp528.xml><?xml version="1.0" encoding="utf-8"?>
<formControlPr xmlns="http://schemas.microsoft.com/office/spreadsheetml/2009/9/main" objectType="CheckBox" fmlaLink="$I$16" lockText="1" noThreeD="1"/>
</file>

<file path=xl/ctrlProps/ctrlProp529.xml><?xml version="1.0" encoding="utf-8"?>
<formControlPr xmlns="http://schemas.microsoft.com/office/spreadsheetml/2009/9/main" objectType="CheckBox" fmlaLink="$I$17" lockText="1" noThreeD="1"/>
</file>

<file path=xl/ctrlProps/ctrlProp530.xml><?xml version="1.0" encoding="utf-8"?>
<formControlPr xmlns="http://schemas.microsoft.com/office/spreadsheetml/2009/9/main" objectType="CheckBox" fmlaLink="$I$18" lockText="1" noThreeD="1"/>
</file>

<file path=xl/ctrlProps/ctrlProp531.xml><?xml version="1.0" encoding="utf-8"?>
<formControlPr xmlns="http://schemas.microsoft.com/office/spreadsheetml/2009/9/main" objectType="CheckBox" fmlaLink="$I$19" lockText="1" noThreeD="1"/>
</file>

<file path=xl/ctrlProps/ctrlProp532.xml><?xml version="1.0" encoding="utf-8"?>
<formControlPr xmlns="http://schemas.microsoft.com/office/spreadsheetml/2009/9/main" objectType="CheckBox" fmlaLink="$I$9" lockText="1" noThreeD="1"/>
</file>

<file path=xl/ctrlProps/ctrlProp533.xml><?xml version="1.0" encoding="utf-8"?>
<formControlPr xmlns="http://schemas.microsoft.com/office/spreadsheetml/2009/9/main" objectType="CheckBox" fmlaLink="$I$10" lockText="1" noThreeD="1"/>
</file>

<file path=xl/ctrlProps/ctrlProp534.xml><?xml version="1.0" encoding="utf-8"?>
<formControlPr xmlns="http://schemas.microsoft.com/office/spreadsheetml/2009/9/main" objectType="CheckBox" fmlaLink="$I$11" lockText="1" noThreeD="1"/>
</file>

<file path=xl/ctrlProps/ctrlProp535.xml><?xml version="1.0" encoding="utf-8"?>
<formControlPr xmlns="http://schemas.microsoft.com/office/spreadsheetml/2009/9/main" objectType="CheckBox" fmlaLink="$I$12" lockText="1" noThreeD="1"/>
</file>

<file path=xl/ctrlProps/ctrlProp536.xml><?xml version="1.0" encoding="utf-8"?>
<formControlPr xmlns="http://schemas.microsoft.com/office/spreadsheetml/2009/9/main" objectType="CheckBox" fmlaLink="$I$13" lockText="1" noThreeD="1"/>
</file>

<file path=xl/ctrlProps/ctrlProp537.xml><?xml version="1.0" encoding="utf-8"?>
<formControlPr xmlns="http://schemas.microsoft.com/office/spreadsheetml/2009/9/main" objectType="CheckBox" fmlaLink="$I$14" lockText="1" noThreeD="1"/>
</file>

<file path=xl/ctrlProps/ctrlProp538.xml><?xml version="1.0" encoding="utf-8"?>
<formControlPr xmlns="http://schemas.microsoft.com/office/spreadsheetml/2009/9/main" objectType="CheckBox" fmlaLink="$I$15" lockText="1" noThreeD="1"/>
</file>

<file path=xl/ctrlProps/ctrlProp539.xml><?xml version="1.0" encoding="utf-8"?>
<formControlPr xmlns="http://schemas.microsoft.com/office/spreadsheetml/2009/9/main" objectType="CheckBox" fmlaLink="$I$16" lockText="1" noThreeD="1"/>
</file>

<file path=xl/ctrlProps/ctrlProp540.xml><?xml version="1.0" encoding="utf-8"?>
<formControlPr xmlns="http://schemas.microsoft.com/office/spreadsheetml/2009/9/main" objectType="CheckBox" fmlaLink="$I$17" lockText="1" noThreeD="1"/>
</file>

<file path=xl/ctrlProps/ctrlProp541.xml><?xml version="1.0" encoding="utf-8"?>
<formControlPr xmlns="http://schemas.microsoft.com/office/spreadsheetml/2009/9/main" objectType="CheckBox" fmlaLink="$I$18" lockText="1" noThreeD="1"/>
</file>

<file path=xl/ctrlProps/ctrlProp542.xml><?xml version="1.0" encoding="utf-8"?>
<formControlPr xmlns="http://schemas.microsoft.com/office/spreadsheetml/2009/9/main" objectType="CheckBox" fmlaLink="$I$19" lockText="1" noThreeD="1"/>
</file>

<file path=xl/ctrlProps/ctrlProp543.xml><?xml version="1.0" encoding="utf-8"?>
<formControlPr xmlns="http://schemas.microsoft.com/office/spreadsheetml/2009/9/main" objectType="CheckBox" fmlaLink="$I$9" lockText="1" noThreeD="1"/>
</file>

<file path=xl/ctrlProps/ctrlProp544.xml><?xml version="1.0" encoding="utf-8"?>
<formControlPr xmlns="http://schemas.microsoft.com/office/spreadsheetml/2009/9/main" objectType="CheckBox" fmlaLink="$I$10" lockText="1" noThreeD="1"/>
</file>

<file path=xl/ctrlProps/ctrlProp545.xml><?xml version="1.0" encoding="utf-8"?>
<formControlPr xmlns="http://schemas.microsoft.com/office/spreadsheetml/2009/9/main" objectType="CheckBox" fmlaLink="$I$11" lockText="1" noThreeD="1"/>
</file>

<file path=xl/ctrlProps/ctrlProp546.xml><?xml version="1.0" encoding="utf-8"?>
<formControlPr xmlns="http://schemas.microsoft.com/office/spreadsheetml/2009/9/main" objectType="CheckBox" fmlaLink="$I$12" lockText="1" noThreeD="1"/>
</file>

<file path=xl/ctrlProps/ctrlProp547.xml><?xml version="1.0" encoding="utf-8"?>
<formControlPr xmlns="http://schemas.microsoft.com/office/spreadsheetml/2009/9/main" objectType="CheckBox" fmlaLink="$I$13" lockText="1" noThreeD="1"/>
</file>

<file path=xl/ctrlProps/ctrlProp548.xml><?xml version="1.0" encoding="utf-8"?>
<formControlPr xmlns="http://schemas.microsoft.com/office/spreadsheetml/2009/9/main" objectType="CheckBox" fmlaLink="$I$14" lockText="1" noThreeD="1"/>
</file>

<file path=xl/ctrlProps/ctrlProp549.xml><?xml version="1.0" encoding="utf-8"?>
<formControlPr xmlns="http://schemas.microsoft.com/office/spreadsheetml/2009/9/main" objectType="CheckBox" fmlaLink="$I$15" lockText="1" noThreeD="1"/>
</file>

<file path=xl/ctrlProps/ctrlProp550.xml><?xml version="1.0" encoding="utf-8"?>
<formControlPr xmlns="http://schemas.microsoft.com/office/spreadsheetml/2009/9/main" objectType="CheckBox" fmlaLink="$I$16" lockText="1" noThreeD="1"/>
</file>

<file path=xl/ctrlProps/ctrlProp551.xml><?xml version="1.0" encoding="utf-8"?>
<formControlPr xmlns="http://schemas.microsoft.com/office/spreadsheetml/2009/9/main" objectType="CheckBox" fmlaLink="$I$17" lockText="1" noThreeD="1"/>
</file>

<file path=xl/ctrlProps/ctrlProp552.xml><?xml version="1.0" encoding="utf-8"?>
<formControlPr xmlns="http://schemas.microsoft.com/office/spreadsheetml/2009/9/main" objectType="CheckBox" fmlaLink="$I$18" lockText="1" noThreeD="1"/>
</file>

<file path=xl/ctrlProps/ctrlProp553.xml><?xml version="1.0" encoding="utf-8"?>
<formControlPr xmlns="http://schemas.microsoft.com/office/spreadsheetml/2009/9/main" objectType="CheckBox" fmlaLink="$I$19" lockText="1" noThreeD="1"/>
</file>

<file path=xl/ctrlProps/ctrlProp554.xml><?xml version="1.0" encoding="utf-8"?>
<formControlPr xmlns="http://schemas.microsoft.com/office/spreadsheetml/2009/9/main" objectType="CheckBox" fmlaLink="$I$9" lockText="1" noThreeD="1"/>
</file>

<file path=xl/ctrlProps/ctrlProp555.xml><?xml version="1.0" encoding="utf-8"?>
<formControlPr xmlns="http://schemas.microsoft.com/office/spreadsheetml/2009/9/main" objectType="CheckBox" fmlaLink="$I$10" lockText="1" noThreeD="1"/>
</file>

<file path=xl/ctrlProps/ctrlProp556.xml><?xml version="1.0" encoding="utf-8"?>
<formControlPr xmlns="http://schemas.microsoft.com/office/spreadsheetml/2009/9/main" objectType="CheckBox" fmlaLink="$I$11" lockText="1" noThreeD="1"/>
</file>

<file path=xl/ctrlProps/ctrlProp557.xml><?xml version="1.0" encoding="utf-8"?>
<formControlPr xmlns="http://schemas.microsoft.com/office/spreadsheetml/2009/9/main" objectType="CheckBox" fmlaLink="$I$12" lockText="1" noThreeD="1"/>
</file>

<file path=xl/ctrlProps/ctrlProp558.xml><?xml version="1.0" encoding="utf-8"?>
<formControlPr xmlns="http://schemas.microsoft.com/office/spreadsheetml/2009/9/main" objectType="CheckBox" fmlaLink="$I$13" lockText="1" noThreeD="1"/>
</file>

<file path=xl/ctrlProps/ctrlProp559.xml><?xml version="1.0" encoding="utf-8"?>
<formControlPr xmlns="http://schemas.microsoft.com/office/spreadsheetml/2009/9/main" objectType="CheckBox" fmlaLink="$I$14" lockText="1" noThreeD="1"/>
</file>

<file path=xl/ctrlProps/ctrlProp560.xml><?xml version="1.0" encoding="utf-8"?>
<formControlPr xmlns="http://schemas.microsoft.com/office/spreadsheetml/2009/9/main" objectType="CheckBox" fmlaLink="$I$15" lockText="1" noThreeD="1"/>
</file>

<file path=xl/ctrlProps/ctrlProp561.xml><?xml version="1.0" encoding="utf-8"?>
<formControlPr xmlns="http://schemas.microsoft.com/office/spreadsheetml/2009/9/main" objectType="CheckBox" fmlaLink="$I$16" lockText="1" noThreeD="1"/>
</file>

<file path=xl/ctrlProps/ctrlProp562.xml><?xml version="1.0" encoding="utf-8"?>
<formControlPr xmlns="http://schemas.microsoft.com/office/spreadsheetml/2009/9/main" objectType="CheckBox" fmlaLink="$I$17" lockText="1" noThreeD="1"/>
</file>

<file path=xl/ctrlProps/ctrlProp563.xml><?xml version="1.0" encoding="utf-8"?>
<formControlPr xmlns="http://schemas.microsoft.com/office/spreadsheetml/2009/9/main" objectType="CheckBox" fmlaLink="$I$18" lockText="1" noThreeD="1"/>
</file>

<file path=xl/ctrlProps/ctrlProp564.xml><?xml version="1.0" encoding="utf-8"?>
<formControlPr xmlns="http://schemas.microsoft.com/office/spreadsheetml/2009/9/main" objectType="CheckBox" fmlaLink="$I$19" lockText="1" noThreeD="1"/>
</file>

<file path=xl/ctrlProps/ctrlProp565.xml><?xml version="1.0" encoding="utf-8"?>
<formControlPr xmlns="http://schemas.microsoft.com/office/spreadsheetml/2009/9/main" objectType="CheckBox" fmlaLink="$I$9" lockText="1" noThreeD="1"/>
</file>

<file path=xl/ctrlProps/ctrlProp566.xml><?xml version="1.0" encoding="utf-8"?>
<formControlPr xmlns="http://schemas.microsoft.com/office/spreadsheetml/2009/9/main" objectType="CheckBox" fmlaLink="$I$10" lockText="1" noThreeD="1"/>
</file>

<file path=xl/ctrlProps/ctrlProp567.xml><?xml version="1.0" encoding="utf-8"?>
<formControlPr xmlns="http://schemas.microsoft.com/office/spreadsheetml/2009/9/main" objectType="CheckBox" fmlaLink="$I$11" lockText="1" noThreeD="1"/>
</file>

<file path=xl/ctrlProps/ctrlProp568.xml><?xml version="1.0" encoding="utf-8"?>
<formControlPr xmlns="http://schemas.microsoft.com/office/spreadsheetml/2009/9/main" objectType="CheckBox" fmlaLink="$I$12" lockText="1" noThreeD="1"/>
</file>

<file path=xl/ctrlProps/ctrlProp569.xml><?xml version="1.0" encoding="utf-8"?>
<formControlPr xmlns="http://schemas.microsoft.com/office/spreadsheetml/2009/9/main" objectType="CheckBox" fmlaLink="$I$13" lockText="1" noThreeD="1"/>
</file>

<file path=xl/ctrlProps/ctrlProp570.xml><?xml version="1.0" encoding="utf-8"?>
<formControlPr xmlns="http://schemas.microsoft.com/office/spreadsheetml/2009/9/main" objectType="CheckBox" fmlaLink="$I$14" lockText="1" noThreeD="1"/>
</file>

<file path=xl/ctrlProps/ctrlProp571.xml><?xml version="1.0" encoding="utf-8"?>
<formControlPr xmlns="http://schemas.microsoft.com/office/spreadsheetml/2009/9/main" objectType="CheckBox" fmlaLink="$I$15" lockText="1" noThreeD="1"/>
</file>

<file path=xl/ctrlProps/ctrlProp572.xml><?xml version="1.0" encoding="utf-8"?>
<formControlPr xmlns="http://schemas.microsoft.com/office/spreadsheetml/2009/9/main" objectType="CheckBox" fmlaLink="$I$16" lockText="1" noThreeD="1"/>
</file>

<file path=xl/ctrlProps/ctrlProp573.xml><?xml version="1.0" encoding="utf-8"?>
<formControlPr xmlns="http://schemas.microsoft.com/office/spreadsheetml/2009/9/main" objectType="CheckBox" fmlaLink="$I$17" lockText="1" noThreeD="1"/>
</file>

<file path=xl/ctrlProps/ctrlProp574.xml><?xml version="1.0" encoding="utf-8"?>
<formControlPr xmlns="http://schemas.microsoft.com/office/spreadsheetml/2009/9/main" objectType="CheckBox" fmlaLink="$I$18" lockText="1" noThreeD="1"/>
</file>

<file path=xl/ctrlProps/ctrlProp575.xml><?xml version="1.0" encoding="utf-8"?>
<formControlPr xmlns="http://schemas.microsoft.com/office/spreadsheetml/2009/9/main" objectType="CheckBox" fmlaLink="$I$19" lockText="1" noThreeD="1"/>
</file>

<file path=xl/ctrlProps/ctrlProp576.xml><?xml version="1.0" encoding="utf-8"?>
<formControlPr xmlns="http://schemas.microsoft.com/office/spreadsheetml/2009/9/main" objectType="CheckBox" fmlaLink="$I$9" lockText="1" noThreeD="1"/>
</file>

<file path=xl/ctrlProps/ctrlProp577.xml><?xml version="1.0" encoding="utf-8"?>
<formControlPr xmlns="http://schemas.microsoft.com/office/spreadsheetml/2009/9/main" objectType="CheckBox" fmlaLink="$I$10" lockText="1" noThreeD="1"/>
</file>

<file path=xl/ctrlProps/ctrlProp578.xml><?xml version="1.0" encoding="utf-8"?>
<formControlPr xmlns="http://schemas.microsoft.com/office/spreadsheetml/2009/9/main" objectType="CheckBox" fmlaLink="$I$11" lockText="1" noThreeD="1"/>
</file>

<file path=xl/ctrlProps/ctrlProp579.xml><?xml version="1.0" encoding="utf-8"?>
<formControlPr xmlns="http://schemas.microsoft.com/office/spreadsheetml/2009/9/main" objectType="CheckBox" fmlaLink="$I$12" lockText="1" noThreeD="1"/>
</file>

<file path=xl/ctrlProps/ctrlProp580.xml><?xml version="1.0" encoding="utf-8"?>
<formControlPr xmlns="http://schemas.microsoft.com/office/spreadsheetml/2009/9/main" objectType="CheckBox" fmlaLink="$I$13" lockText="1" noThreeD="1"/>
</file>

<file path=xl/ctrlProps/ctrlProp581.xml><?xml version="1.0" encoding="utf-8"?>
<formControlPr xmlns="http://schemas.microsoft.com/office/spreadsheetml/2009/9/main" objectType="CheckBox" fmlaLink="$I$14" lockText="1" noThreeD="1"/>
</file>

<file path=xl/ctrlProps/ctrlProp582.xml><?xml version="1.0" encoding="utf-8"?>
<formControlPr xmlns="http://schemas.microsoft.com/office/spreadsheetml/2009/9/main" objectType="CheckBox" fmlaLink="$I$15" lockText="1" noThreeD="1"/>
</file>

<file path=xl/ctrlProps/ctrlProp583.xml><?xml version="1.0" encoding="utf-8"?>
<formControlPr xmlns="http://schemas.microsoft.com/office/spreadsheetml/2009/9/main" objectType="CheckBox" fmlaLink="$I$16" lockText="1" noThreeD="1"/>
</file>

<file path=xl/ctrlProps/ctrlProp584.xml><?xml version="1.0" encoding="utf-8"?>
<formControlPr xmlns="http://schemas.microsoft.com/office/spreadsheetml/2009/9/main" objectType="CheckBox" fmlaLink="$I$17" lockText="1" noThreeD="1"/>
</file>

<file path=xl/ctrlProps/ctrlProp585.xml><?xml version="1.0" encoding="utf-8"?>
<formControlPr xmlns="http://schemas.microsoft.com/office/spreadsheetml/2009/9/main" objectType="CheckBox" fmlaLink="$I$18" lockText="1" noThreeD="1"/>
</file>

<file path=xl/ctrlProps/ctrlProp586.xml><?xml version="1.0" encoding="utf-8"?>
<formControlPr xmlns="http://schemas.microsoft.com/office/spreadsheetml/2009/9/main" objectType="CheckBox" fmlaLink="$I$19" lockText="1" noThreeD="1"/>
</file>

<file path=xl/ctrlProps/ctrlProp587.xml><?xml version="1.0" encoding="utf-8"?>
<formControlPr xmlns="http://schemas.microsoft.com/office/spreadsheetml/2009/9/main" objectType="CheckBox" fmlaLink="$I$9" lockText="1" noThreeD="1"/>
</file>

<file path=xl/ctrlProps/ctrlProp588.xml><?xml version="1.0" encoding="utf-8"?>
<formControlPr xmlns="http://schemas.microsoft.com/office/spreadsheetml/2009/9/main" objectType="CheckBox" fmlaLink="$I$10" lockText="1" noThreeD="1"/>
</file>

<file path=xl/ctrlProps/ctrlProp589.xml><?xml version="1.0" encoding="utf-8"?>
<formControlPr xmlns="http://schemas.microsoft.com/office/spreadsheetml/2009/9/main" objectType="CheckBox" fmlaLink="$I$11" lockText="1" noThreeD="1"/>
</file>

<file path=xl/ctrlProps/ctrlProp590.xml><?xml version="1.0" encoding="utf-8"?>
<formControlPr xmlns="http://schemas.microsoft.com/office/spreadsheetml/2009/9/main" objectType="CheckBox" fmlaLink="$I$12" lockText="1" noThreeD="1"/>
</file>

<file path=xl/ctrlProps/ctrlProp591.xml><?xml version="1.0" encoding="utf-8"?>
<formControlPr xmlns="http://schemas.microsoft.com/office/spreadsheetml/2009/9/main" objectType="CheckBox" fmlaLink="$I$13" lockText="1" noThreeD="1"/>
</file>

<file path=xl/ctrlProps/ctrlProp592.xml><?xml version="1.0" encoding="utf-8"?>
<formControlPr xmlns="http://schemas.microsoft.com/office/spreadsheetml/2009/9/main" objectType="CheckBox" fmlaLink="$I$14" lockText="1" noThreeD="1"/>
</file>

<file path=xl/ctrlProps/ctrlProp593.xml><?xml version="1.0" encoding="utf-8"?>
<formControlPr xmlns="http://schemas.microsoft.com/office/spreadsheetml/2009/9/main" objectType="CheckBox" fmlaLink="$I$15" lockText="1" noThreeD="1"/>
</file>

<file path=xl/ctrlProps/ctrlProp594.xml><?xml version="1.0" encoding="utf-8"?>
<formControlPr xmlns="http://schemas.microsoft.com/office/spreadsheetml/2009/9/main" objectType="CheckBox" fmlaLink="$I$16" lockText="1" noThreeD="1"/>
</file>

<file path=xl/ctrlProps/ctrlProp595.xml><?xml version="1.0" encoding="utf-8"?>
<formControlPr xmlns="http://schemas.microsoft.com/office/spreadsheetml/2009/9/main" objectType="CheckBox" fmlaLink="$I$17" lockText="1" noThreeD="1"/>
</file>

<file path=xl/ctrlProps/ctrlProp596.xml><?xml version="1.0" encoding="utf-8"?>
<formControlPr xmlns="http://schemas.microsoft.com/office/spreadsheetml/2009/9/main" objectType="CheckBox" fmlaLink="$I$18" lockText="1" noThreeD="1"/>
</file>

<file path=xl/ctrlProps/ctrlProp597.xml><?xml version="1.0" encoding="utf-8"?>
<formControlPr xmlns="http://schemas.microsoft.com/office/spreadsheetml/2009/9/main" objectType="CheckBox" fmlaLink="$I$19" lockText="1" noThreeD="1"/>
</file>

<file path=xl/ctrlProps/ctrlProp598.xml><?xml version="1.0" encoding="utf-8"?>
<formControlPr xmlns="http://schemas.microsoft.com/office/spreadsheetml/2009/9/main" objectType="CheckBox" fmlaLink="$I$9" lockText="1" noThreeD="1"/>
</file>

<file path=xl/ctrlProps/ctrlProp599.xml><?xml version="1.0" encoding="utf-8"?>
<formControlPr xmlns="http://schemas.microsoft.com/office/spreadsheetml/2009/9/main" objectType="CheckBox" fmlaLink="$I$10" lockText="1" noThreeD="1"/>
</file>

<file path=xl/ctrlProps/ctrlProp600.xml><?xml version="1.0" encoding="utf-8"?>
<formControlPr xmlns="http://schemas.microsoft.com/office/spreadsheetml/2009/9/main" objectType="CheckBox" fmlaLink="$I$11" lockText="1" noThreeD="1"/>
</file>

<file path=xl/ctrlProps/ctrlProp601.xml><?xml version="1.0" encoding="utf-8"?>
<formControlPr xmlns="http://schemas.microsoft.com/office/spreadsheetml/2009/9/main" objectType="CheckBox" fmlaLink="$I$12" lockText="1" noThreeD="1"/>
</file>

<file path=xl/ctrlProps/ctrlProp602.xml><?xml version="1.0" encoding="utf-8"?>
<formControlPr xmlns="http://schemas.microsoft.com/office/spreadsheetml/2009/9/main" objectType="CheckBox" fmlaLink="$I$13" lockText="1" noThreeD="1"/>
</file>

<file path=xl/ctrlProps/ctrlProp603.xml><?xml version="1.0" encoding="utf-8"?>
<formControlPr xmlns="http://schemas.microsoft.com/office/spreadsheetml/2009/9/main" objectType="CheckBox" fmlaLink="$I$14" lockText="1" noThreeD="1"/>
</file>

<file path=xl/ctrlProps/ctrlProp604.xml><?xml version="1.0" encoding="utf-8"?>
<formControlPr xmlns="http://schemas.microsoft.com/office/spreadsheetml/2009/9/main" objectType="CheckBox" fmlaLink="$I$15" lockText="1" noThreeD="1"/>
</file>

<file path=xl/ctrlProps/ctrlProp605.xml><?xml version="1.0" encoding="utf-8"?>
<formControlPr xmlns="http://schemas.microsoft.com/office/spreadsheetml/2009/9/main" objectType="CheckBox" fmlaLink="$I$16" lockText="1" noThreeD="1"/>
</file>

<file path=xl/ctrlProps/ctrlProp606.xml><?xml version="1.0" encoding="utf-8"?>
<formControlPr xmlns="http://schemas.microsoft.com/office/spreadsheetml/2009/9/main" objectType="CheckBox" fmlaLink="$I$17" lockText="1" noThreeD="1"/>
</file>

<file path=xl/ctrlProps/ctrlProp607.xml><?xml version="1.0" encoding="utf-8"?>
<formControlPr xmlns="http://schemas.microsoft.com/office/spreadsheetml/2009/9/main" objectType="CheckBox" fmlaLink="$I$18" lockText="1" noThreeD="1"/>
</file>

<file path=xl/ctrlProps/ctrlProp608.xml><?xml version="1.0" encoding="utf-8"?>
<formControlPr xmlns="http://schemas.microsoft.com/office/spreadsheetml/2009/9/main" objectType="CheckBox" fmlaLink="$I$19" lockText="1" noThreeD="1"/>
</file>

<file path=xl/ctrlProps/ctrlProp609.xml><?xml version="1.0" encoding="utf-8"?>
<formControlPr xmlns="http://schemas.microsoft.com/office/spreadsheetml/2009/9/main" objectType="CheckBox" fmlaLink="$I$9" lockText="1" noThreeD="1"/>
</file>

<file path=xl/ctrlProps/ctrlProp610.xml><?xml version="1.0" encoding="utf-8"?>
<formControlPr xmlns="http://schemas.microsoft.com/office/spreadsheetml/2009/9/main" objectType="CheckBox" fmlaLink="$I$10" lockText="1" noThreeD="1"/>
</file>

<file path=xl/ctrlProps/ctrlProp611.xml><?xml version="1.0" encoding="utf-8"?>
<formControlPr xmlns="http://schemas.microsoft.com/office/spreadsheetml/2009/9/main" objectType="CheckBox" fmlaLink="$I$11" lockText="1" noThreeD="1"/>
</file>

<file path=xl/ctrlProps/ctrlProp612.xml><?xml version="1.0" encoding="utf-8"?>
<formControlPr xmlns="http://schemas.microsoft.com/office/spreadsheetml/2009/9/main" objectType="CheckBox" fmlaLink="$I$12" lockText="1" noThreeD="1"/>
</file>

<file path=xl/ctrlProps/ctrlProp613.xml><?xml version="1.0" encoding="utf-8"?>
<formControlPr xmlns="http://schemas.microsoft.com/office/spreadsheetml/2009/9/main" objectType="CheckBox" fmlaLink="$I$13" lockText="1" noThreeD="1"/>
</file>

<file path=xl/ctrlProps/ctrlProp614.xml><?xml version="1.0" encoding="utf-8"?>
<formControlPr xmlns="http://schemas.microsoft.com/office/spreadsheetml/2009/9/main" objectType="CheckBox" fmlaLink="$I$14" lockText="1" noThreeD="1"/>
</file>

<file path=xl/ctrlProps/ctrlProp615.xml><?xml version="1.0" encoding="utf-8"?>
<formControlPr xmlns="http://schemas.microsoft.com/office/spreadsheetml/2009/9/main" objectType="CheckBox" fmlaLink="$I$15" lockText="1" noThreeD="1"/>
</file>

<file path=xl/ctrlProps/ctrlProp616.xml><?xml version="1.0" encoding="utf-8"?>
<formControlPr xmlns="http://schemas.microsoft.com/office/spreadsheetml/2009/9/main" objectType="CheckBox" fmlaLink="$I$16" lockText="1" noThreeD="1"/>
</file>

<file path=xl/ctrlProps/ctrlProp617.xml><?xml version="1.0" encoding="utf-8"?>
<formControlPr xmlns="http://schemas.microsoft.com/office/spreadsheetml/2009/9/main" objectType="CheckBox" fmlaLink="$I$17" lockText="1" noThreeD="1"/>
</file>

<file path=xl/ctrlProps/ctrlProp618.xml><?xml version="1.0" encoding="utf-8"?>
<formControlPr xmlns="http://schemas.microsoft.com/office/spreadsheetml/2009/9/main" objectType="CheckBox" fmlaLink="$I$18" lockText="1" noThreeD="1"/>
</file>

<file path=xl/ctrlProps/ctrlProp619.xml><?xml version="1.0" encoding="utf-8"?>
<formControlPr xmlns="http://schemas.microsoft.com/office/spreadsheetml/2009/9/main" objectType="CheckBox" fmlaLink="$I$19" lockText="1" noThreeD="1"/>
</file>

<file path=xl/ctrlProps/ctrlProp620.xml><?xml version="1.0" encoding="utf-8"?>
<formControlPr xmlns="http://schemas.microsoft.com/office/spreadsheetml/2009/9/main" objectType="CheckBox" fmlaLink="$I$9" lockText="1" noThreeD="1"/>
</file>

<file path=xl/ctrlProps/ctrlProp621.xml><?xml version="1.0" encoding="utf-8"?>
<formControlPr xmlns="http://schemas.microsoft.com/office/spreadsheetml/2009/9/main" objectType="CheckBox" fmlaLink="$I$10" lockText="1" noThreeD="1"/>
</file>

<file path=xl/ctrlProps/ctrlProp622.xml><?xml version="1.0" encoding="utf-8"?>
<formControlPr xmlns="http://schemas.microsoft.com/office/spreadsheetml/2009/9/main" objectType="CheckBox" fmlaLink="$I$11" lockText="1" noThreeD="1"/>
</file>

<file path=xl/ctrlProps/ctrlProp623.xml><?xml version="1.0" encoding="utf-8"?>
<formControlPr xmlns="http://schemas.microsoft.com/office/spreadsheetml/2009/9/main" objectType="CheckBox" fmlaLink="$I$12" lockText="1" noThreeD="1"/>
</file>

<file path=xl/ctrlProps/ctrlProp624.xml><?xml version="1.0" encoding="utf-8"?>
<formControlPr xmlns="http://schemas.microsoft.com/office/spreadsheetml/2009/9/main" objectType="CheckBox" fmlaLink="$I$13" lockText="1" noThreeD="1"/>
</file>

<file path=xl/ctrlProps/ctrlProp625.xml><?xml version="1.0" encoding="utf-8"?>
<formControlPr xmlns="http://schemas.microsoft.com/office/spreadsheetml/2009/9/main" objectType="CheckBox" fmlaLink="$I$14" lockText="1" noThreeD="1"/>
</file>

<file path=xl/ctrlProps/ctrlProp626.xml><?xml version="1.0" encoding="utf-8"?>
<formControlPr xmlns="http://schemas.microsoft.com/office/spreadsheetml/2009/9/main" objectType="CheckBox" fmlaLink="$I$15" lockText="1" noThreeD="1"/>
</file>

<file path=xl/ctrlProps/ctrlProp627.xml><?xml version="1.0" encoding="utf-8"?>
<formControlPr xmlns="http://schemas.microsoft.com/office/spreadsheetml/2009/9/main" objectType="CheckBox" fmlaLink="$I$16" lockText="1" noThreeD="1"/>
</file>

<file path=xl/ctrlProps/ctrlProp628.xml><?xml version="1.0" encoding="utf-8"?>
<formControlPr xmlns="http://schemas.microsoft.com/office/spreadsheetml/2009/9/main" objectType="CheckBox" fmlaLink="$I$17" lockText="1" noThreeD="1"/>
</file>

<file path=xl/ctrlProps/ctrlProp629.xml><?xml version="1.0" encoding="utf-8"?>
<formControlPr xmlns="http://schemas.microsoft.com/office/spreadsheetml/2009/9/main" objectType="CheckBox" fmlaLink="$I$18" lockText="1" noThreeD="1"/>
</file>

<file path=xl/ctrlProps/ctrlProp630.xml><?xml version="1.0" encoding="utf-8"?>
<formControlPr xmlns="http://schemas.microsoft.com/office/spreadsheetml/2009/9/main" objectType="CheckBox" fmlaLink="$I$19" lockText="1" noThreeD="1"/>
</file>

<file path=xl/ctrlProps/ctrlProp631.xml><?xml version="1.0" encoding="utf-8"?>
<formControlPr xmlns="http://schemas.microsoft.com/office/spreadsheetml/2009/9/main" objectType="CheckBox" fmlaLink="$I$9" lockText="1" noThreeD="1"/>
</file>

<file path=xl/ctrlProps/ctrlProp632.xml><?xml version="1.0" encoding="utf-8"?>
<formControlPr xmlns="http://schemas.microsoft.com/office/spreadsheetml/2009/9/main" objectType="CheckBox" fmlaLink="$I$10" lockText="1" noThreeD="1"/>
</file>

<file path=xl/ctrlProps/ctrlProp633.xml><?xml version="1.0" encoding="utf-8"?>
<formControlPr xmlns="http://schemas.microsoft.com/office/spreadsheetml/2009/9/main" objectType="CheckBox" fmlaLink="$I$11" lockText="1" noThreeD="1"/>
</file>

<file path=xl/ctrlProps/ctrlProp634.xml><?xml version="1.0" encoding="utf-8"?>
<formControlPr xmlns="http://schemas.microsoft.com/office/spreadsheetml/2009/9/main" objectType="CheckBox" fmlaLink="$I$12" lockText="1" noThreeD="1"/>
</file>

<file path=xl/ctrlProps/ctrlProp635.xml><?xml version="1.0" encoding="utf-8"?>
<formControlPr xmlns="http://schemas.microsoft.com/office/spreadsheetml/2009/9/main" objectType="CheckBox" fmlaLink="$I$13" lockText="1" noThreeD="1"/>
</file>

<file path=xl/ctrlProps/ctrlProp636.xml><?xml version="1.0" encoding="utf-8"?>
<formControlPr xmlns="http://schemas.microsoft.com/office/spreadsheetml/2009/9/main" objectType="CheckBox" fmlaLink="$I$14" lockText="1" noThreeD="1"/>
</file>

<file path=xl/ctrlProps/ctrlProp637.xml><?xml version="1.0" encoding="utf-8"?>
<formControlPr xmlns="http://schemas.microsoft.com/office/spreadsheetml/2009/9/main" objectType="CheckBox" fmlaLink="$I$15" lockText="1" noThreeD="1"/>
</file>

<file path=xl/ctrlProps/ctrlProp638.xml><?xml version="1.0" encoding="utf-8"?>
<formControlPr xmlns="http://schemas.microsoft.com/office/spreadsheetml/2009/9/main" objectType="CheckBox" fmlaLink="$I$16" lockText="1" noThreeD="1"/>
</file>

<file path=xl/ctrlProps/ctrlProp639.xml><?xml version="1.0" encoding="utf-8"?>
<formControlPr xmlns="http://schemas.microsoft.com/office/spreadsheetml/2009/9/main" objectType="CheckBox" fmlaLink="$I$17" lockText="1" noThreeD="1"/>
</file>

<file path=xl/ctrlProps/ctrlProp640.xml><?xml version="1.0" encoding="utf-8"?>
<formControlPr xmlns="http://schemas.microsoft.com/office/spreadsheetml/2009/9/main" objectType="CheckBox" fmlaLink="$I$18" lockText="1" noThreeD="1"/>
</file>

<file path=xl/ctrlProps/ctrlProp641.xml><?xml version="1.0" encoding="utf-8"?>
<formControlPr xmlns="http://schemas.microsoft.com/office/spreadsheetml/2009/9/main" objectType="CheckBox" fmlaLink="$I$19" lockText="1" noThreeD="1"/>
</file>

<file path=xl/ctrlProps/ctrlProp642.xml><?xml version="1.0" encoding="utf-8"?>
<formControlPr xmlns="http://schemas.microsoft.com/office/spreadsheetml/2009/9/main" objectType="Button" lockText="1"/>
</file>

<file path=xl/ctrlProps/ctrlProp643.xml><?xml version="1.0" encoding="utf-8"?>
<formControlPr xmlns="http://schemas.microsoft.com/office/spreadsheetml/2009/9/main" objectType="Button" lockText="1"/>
</file>

<file path=xl/ctrlProps/ctrlProp644.xml><?xml version="1.0" encoding="utf-8"?>
<formControlPr xmlns="http://schemas.microsoft.com/office/spreadsheetml/2009/9/main" objectType="Button" lockText="1"/>
</file>

<file path=xl/ctrlProps/ctrlProp645.xml><?xml version="1.0" encoding="utf-8"?>
<formControlPr xmlns="http://schemas.microsoft.com/office/spreadsheetml/2009/9/main" objectType="CheckBox" checked="Checked" lockText="1" noThreeD="1"/>
</file>

<file path=xl/ctrlProps/ctrlProp646.xml><?xml version="1.0" encoding="utf-8"?>
<formControlPr xmlns="http://schemas.microsoft.com/office/spreadsheetml/2009/9/main" objectType="CheckBox" checked="Checked" lockText="1" noThreeD="1"/>
</file>

<file path=xl/ctrlProps/ctrlProp647.xml><?xml version="1.0" encoding="utf-8"?>
<formControlPr xmlns="http://schemas.microsoft.com/office/spreadsheetml/2009/9/main" objectType="CheckBox" lockText="1" noThreeD="1"/>
</file>

<file path=xl/ctrlProps/ctrlProp648.xml><?xml version="1.0" encoding="utf-8"?>
<formControlPr xmlns="http://schemas.microsoft.com/office/spreadsheetml/2009/9/main" objectType="CheckBox" lockText="1" noThreeD="1"/>
</file>

<file path=xl/ctrlProps/ctrlProp649.xml><?xml version="1.0" encoding="utf-8"?>
<formControlPr xmlns="http://schemas.microsoft.com/office/spreadsheetml/2009/9/main" objectType="CheckBox" lockText="1" noThreeD="1"/>
</file>

<file path=xl/ctrlProps/ctrlProp650.xml><?xml version="1.0" encoding="utf-8"?>
<formControlPr xmlns="http://schemas.microsoft.com/office/spreadsheetml/2009/9/main" objectType="CheckBox" checked="Checked" lockText="1" noThreeD="1"/>
</file>

<file path=xl/ctrlProps/ctrlProp651.xml><?xml version="1.0" encoding="utf-8"?>
<formControlPr xmlns="http://schemas.microsoft.com/office/spreadsheetml/2009/9/main" objectType="CheckBox" lockText="1" noThreeD="1"/>
</file>

<file path=xl/ctrlProps/ctrlProp652.xml><?xml version="1.0" encoding="utf-8"?>
<formControlPr xmlns="http://schemas.microsoft.com/office/spreadsheetml/2009/9/main" objectType="CheckBox" lockText="1" noThreeD="1"/>
</file>

<file path=xl/ctrlProps/ctrlProp653.xml><?xml version="1.0" encoding="utf-8"?>
<formControlPr xmlns="http://schemas.microsoft.com/office/spreadsheetml/2009/9/main" objectType="CheckBox" lockText="1" noThreeD="1"/>
</file>

<file path=xl/ctrlProps/ctrlProp654.xml><?xml version="1.0" encoding="utf-8"?>
<formControlPr xmlns="http://schemas.microsoft.com/office/spreadsheetml/2009/9/main" objectType="CheckBox" lockText="1" noThreeD="1"/>
</file>

<file path=xl/ctrlProps/ctrlProp655.xml><?xml version="1.0" encoding="utf-8"?>
<formControlPr xmlns="http://schemas.microsoft.com/office/spreadsheetml/2009/9/main" objectType="CheckBox" lockText="1" noThreeD="1"/>
</file>

<file path=xl/ctrlProps/ctrlProp656.xml><?xml version="1.0" encoding="utf-8"?>
<formControlPr xmlns="http://schemas.microsoft.com/office/spreadsheetml/2009/9/main" objectType="CheckBox" lockText="1" noThreeD="1"/>
</file>

<file path=xl/ctrlProps/ctrlProp657.xml><?xml version="1.0" encoding="utf-8"?>
<formControlPr xmlns="http://schemas.microsoft.com/office/spreadsheetml/2009/9/main" objectType="CheckBox" lockText="1" noThreeD="1"/>
</file>

<file path=xl/ctrlProps/ctrlProp658.xml><?xml version="1.0" encoding="utf-8"?>
<formControlPr xmlns="http://schemas.microsoft.com/office/spreadsheetml/2009/9/main" objectType="CheckBox" checked="Checked" lockText="1" noThreeD="1"/>
</file>

<file path=xl/ctrlProps/ctrlProp659.xml><?xml version="1.0" encoding="utf-8"?>
<formControlPr xmlns="http://schemas.microsoft.com/office/spreadsheetml/2009/9/main" objectType="CheckBox" checked="Checked" lockText="1" noThreeD="1"/>
</file>

<file path=xl/ctrlProps/ctrlProp660.xml><?xml version="1.0" encoding="utf-8"?>
<formControlPr xmlns="http://schemas.microsoft.com/office/spreadsheetml/2009/9/main" objectType="CheckBox" lockText="1" noThreeD="1"/>
</file>

<file path=xl/ctrlProps/ctrlProp661.xml><?xml version="1.0" encoding="utf-8"?>
<formControlPr xmlns="http://schemas.microsoft.com/office/spreadsheetml/2009/9/main" objectType="CheckBox" lockText="1" noThreeD="1"/>
</file>

<file path=xl/ctrlProps/ctrlProp662.xml><?xml version="1.0" encoding="utf-8"?>
<formControlPr xmlns="http://schemas.microsoft.com/office/spreadsheetml/2009/9/main" objectType="CheckBox" checked="Checked" lockText="1" noThreeD="1"/>
</file>

<file path=xl/ctrlProps/ctrlProp663.xml><?xml version="1.0" encoding="utf-8"?>
<formControlPr xmlns="http://schemas.microsoft.com/office/spreadsheetml/2009/9/main" objectType="CheckBox" lockText="1" noThreeD="1"/>
</file>

<file path=xl/ctrlProps/ctrlProp664.xml><?xml version="1.0" encoding="utf-8"?>
<formControlPr xmlns="http://schemas.microsoft.com/office/spreadsheetml/2009/9/main" objectType="CheckBox" lockText="1" noThreeD="1"/>
</file>

<file path=xl/ctrlProps/ctrlProp665.xml><?xml version="1.0" encoding="utf-8"?>
<formControlPr xmlns="http://schemas.microsoft.com/office/spreadsheetml/2009/9/main" objectType="CheckBox" lockText="1" noThreeD="1"/>
</file>

<file path=xl/ctrlProps/ctrlProp666.xml><?xml version="1.0" encoding="utf-8"?>
<formControlPr xmlns="http://schemas.microsoft.com/office/spreadsheetml/2009/9/main" objectType="CheckBox" lockText="1" noThreeD="1"/>
</file>

<file path=xl/ctrlProps/ctrlProp667.xml><?xml version="1.0" encoding="utf-8"?>
<formControlPr xmlns="http://schemas.microsoft.com/office/spreadsheetml/2009/9/main" objectType="CheckBox" lockText="1" noThreeD="1"/>
</file>

<file path=xl/ctrlProps/ctrlProp668.xml><?xml version="1.0" encoding="utf-8"?>
<formControlPr xmlns="http://schemas.microsoft.com/office/spreadsheetml/2009/9/main" objectType="CheckBox" lockText="1" noThreeD="1"/>
</file>

<file path=xl/ctrlProps/ctrlProp669.xml><?xml version="1.0" encoding="utf-8"?>
<formControlPr xmlns="http://schemas.microsoft.com/office/spreadsheetml/2009/9/main" objectType="CheckBox" lockText="1" noThreeD="1"/>
</file>

<file path=xl/ctrlProps/ctrlProp670.xml><?xml version="1.0" encoding="utf-8"?>
<formControlPr xmlns="http://schemas.microsoft.com/office/spreadsheetml/2009/9/main" objectType="CheckBox" lockText="1" noThreeD="1"/>
</file>

<file path=xl/ctrlProps/ctrlProp671.xml><?xml version="1.0" encoding="utf-8"?>
<formControlPr xmlns="http://schemas.microsoft.com/office/spreadsheetml/2009/9/main" objectType="CheckBox" lockText="1" noThreeD="1"/>
</file>

<file path=xl/ctrlProps/ctrlProp672.xml><?xml version="1.0" encoding="utf-8"?>
<formControlPr xmlns="http://schemas.microsoft.com/office/spreadsheetml/2009/9/main" objectType="CheckBox" checked="Checked" lockText="1" noThreeD="1"/>
</file>

<file path=xl/ctrlProps/ctrlProp673.xml><?xml version="1.0" encoding="utf-8"?>
<formControlPr xmlns="http://schemas.microsoft.com/office/spreadsheetml/2009/9/main" objectType="CheckBox" lockText="1" noThreeD="1"/>
</file>

<file path=xl/ctrlProps/ctrlProp674.xml><?xml version="1.0" encoding="utf-8"?>
<formControlPr xmlns="http://schemas.microsoft.com/office/spreadsheetml/2009/9/main" objectType="CheckBox" lockText="1" noThreeD="1"/>
</file>

<file path=xl/ctrlProps/ctrlProp675.xml><?xml version="1.0" encoding="utf-8"?>
<formControlPr xmlns="http://schemas.microsoft.com/office/spreadsheetml/2009/9/main" objectType="CheckBox" lockText="1" noThreeD="1"/>
</file>

<file path=xl/ctrlProps/ctrlProp676.xml><?xml version="1.0" encoding="utf-8"?>
<formControlPr xmlns="http://schemas.microsoft.com/office/spreadsheetml/2009/9/main" objectType="CheckBox" lockText="1" noThreeD="1"/>
</file>

<file path=xl/ctrlProps/ctrlProp677.xml><?xml version="1.0" encoding="utf-8"?>
<formControlPr xmlns="http://schemas.microsoft.com/office/spreadsheetml/2009/9/main" objectType="CheckBox" lockText="1" noThreeD="1"/>
</file>

<file path=xl/ctrlProps/ctrlProp678.xml><?xml version="1.0" encoding="utf-8"?>
<formControlPr xmlns="http://schemas.microsoft.com/office/spreadsheetml/2009/9/main" objectType="CheckBox" lockText="1" noThreeD="1"/>
</file>

<file path=xl/ctrlProps/ctrlProp679.xml><?xml version="1.0" encoding="utf-8"?>
<formControlPr xmlns="http://schemas.microsoft.com/office/spreadsheetml/2009/9/main" objectType="CheckBox" checked="Checked" lockText="1" noThreeD="1"/>
</file>

<file path=xl/ctrlProps/ctrlProp680.xml><?xml version="1.0" encoding="utf-8"?>
<formControlPr xmlns="http://schemas.microsoft.com/office/spreadsheetml/2009/9/main" objectType="CheckBox" checked="Checked" lockText="1" noThreeD="1"/>
</file>

<file path=xl/ctrlProps/ctrlProp681.xml><?xml version="1.0" encoding="utf-8"?>
<formControlPr xmlns="http://schemas.microsoft.com/office/spreadsheetml/2009/9/main" objectType="CheckBox" lockText="1" noThreeD="1"/>
</file>

<file path=xl/ctrlProps/ctrlProp682.xml><?xml version="1.0" encoding="utf-8"?>
<formControlPr xmlns="http://schemas.microsoft.com/office/spreadsheetml/2009/9/main" objectType="CheckBox" lockText="1" noThreeD="1"/>
</file>

<file path=xl/ctrlProps/ctrlProp683.xml><?xml version="1.0" encoding="utf-8"?>
<formControlPr xmlns="http://schemas.microsoft.com/office/spreadsheetml/2009/9/main" objectType="CheckBox" checked="Checked" lockText="1" noThreeD="1"/>
</file>

<file path=xl/ctrlProps/ctrlProp684.xml><?xml version="1.0" encoding="utf-8"?>
<formControlPr xmlns="http://schemas.microsoft.com/office/spreadsheetml/2009/9/main" objectType="CheckBox" lockText="1" noThreeD="1"/>
</file>

<file path=xl/ctrlProps/ctrlProp685.xml><?xml version="1.0" encoding="utf-8"?>
<formControlPr xmlns="http://schemas.microsoft.com/office/spreadsheetml/2009/9/main" objectType="CheckBox" lockText="1" noThreeD="1"/>
</file>

<file path=xl/ctrlProps/ctrlProp686.xml><?xml version="1.0" encoding="utf-8"?>
<formControlPr xmlns="http://schemas.microsoft.com/office/spreadsheetml/2009/9/main" objectType="CheckBox" lockText="1" noThreeD="1"/>
</file>

<file path=xl/ctrlProps/ctrlProp687.xml><?xml version="1.0" encoding="utf-8"?>
<formControlPr xmlns="http://schemas.microsoft.com/office/spreadsheetml/2009/9/main" objectType="CheckBox" lockText="1" noThreeD="1"/>
</file>

<file path=xl/ctrlProps/ctrlProp688.xml><?xml version="1.0" encoding="utf-8"?>
<formControlPr xmlns="http://schemas.microsoft.com/office/spreadsheetml/2009/9/main" objectType="CheckBox" lockText="1" noThreeD="1"/>
</file>

<file path=xl/ctrlProps/ctrlProp689.xml><?xml version="1.0" encoding="utf-8"?>
<formControlPr xmlns="http://schemas.microsoft.com/office/spreadsheetml/2009/9/main" objectType="CheckBox" lockText="1" noThreeD="1"/>
</file>

<file path=xl/ctrlProps/ctrlProp690.xml><?xml version="1.0" encoding="utf-8"?>
<formControlPr xmlns="http://schemas.microsoft.com/office/spreadsheetml/2009/9/main" objectType="CheckBox" lockText="1" noThreeD="1"/>
</file>

<file path=xl/ctrlProps/ctrlProp691.xml><?xml version="1.0" encoding="utf-8"?>
<formControlPr xmlns="http://schemas.microsoft.com/office/spreadsheetml/2009/9/main" objectType="CheckBox" lockText="1" noThreeD="1"/>
</file>

<file path=xl/ctrlProps/ctrlProp692.xml><?xml version="1.0" encoding="utf-8"?>
<formControlPr xmlns="http://schemas.microsoft.com/office/spreadsheetml/2009/9/main" objectType="CheckBox" lockText="1" noThreeD="1"/>
</file>

<file path=xl/ctrlProps/ctrlProp693.xml><?xml version="1.0" encoding="utf-8"?>
<formControlPr xmlns="http://schemas.microsoft.com/office/spreadsheetml/2009/9/main" objectType="CheckBox" lockText="1" noThreeD="1"/>
</file>

<file path=xl/ctrlProps/ctrlProp694.xml><?xml version="1.0" encoding="utf-8"?>
<formControlPr xmlns="http://schemas.microsoft.com/office/spreadsheetml/2009/9/main" objectType="CheckBox" lockText="1" noThreeD="1"/>
</file>

<file path=xl/ctrlProps/ctrlProp695.xml><?xml version="1.0" encoding="utf-8"?>
<formControlPr xmlns="http://schemas.microsoft.com/office/spreadsheetml/2009/9/main" objectType="CheckBox" lockText="1" noThreeD="1"/>
</file>

<file path=xl/ctrlProps/ctrlProp696.xml><?xml version="1.0" encoding="utf-8"?>
<formControlPr xmlns="http://schemas.microsoft.com/office/spreadsheetml/2009/9/main" objectType="CheckBox" checked="Checked" lockText="1" noThreeD="1"/>
</file>

<file path=xl/ctrlProps/ctrlProp697.xml><?xml version="1.0" encoding="utf-8"?>
<formControlPr xmlns="http://schemas.microsoft.com/office/spreadsheetml/2009/9/main" objectType="CheckBox" checked="Checked" lockText="1" noThreeD="1"/>
</file>

<file path=xl/ctrlProps/ctrlProp698.xml><?xml version="1.0" encoding="utf-8"?>
<formControlPr xmlns="http://schemas.microsoft.com/office/spreadsheetml/2009/9/main" objectType="CheckBox" lockText="1" noThreeD="1"/>
</file>

<file path=xl/ctrlProps/ctrlProp699.xml><?xml version="1.0" encoding="utf-8"?>
<formControlPr xmlns="http://schemas.microsoft.com/office/spreadsheetml/2009/9/main" objectType="CheckBox" lockText="1" noThreeD="1"/>
</file>

<file path=xl/ctrlProps/ctrlProp700.xml><?xml version="1.0" encoding="utf-8"?>
<formControlPr xmlns="http://schemas.microsoft.com/office/spreadsheetml/2009/9/main" objectType="CheckBox" lockText="1" noThreeD="1"/>
</file>

<file path=xl/ctrlProps/ctrlProp701.xml><?xml version="1.0" encoding="utf-8"?>
<formControlPr xmlns="http://schemas.microsoft.com/office/spreadsheetml/2009/9/main" objectType="CheckBox" checked="Checked" lockText="1" noThreeD="1"/>
</file>

<file path=xl/ctrlProps/ctrlProp702.xml><?xml version="1.0" encoding="utf-8"?>
<formControlPr xmlns="http://schemas.microsoft.com/office/spreadsheetml/2009/9/main" objectType="CheckBox" lockText="1" noThreeD="1"/>
</file>

<file path=xl/ctrlProps/ctrlProp703.xml><?xml version="1.0" encoding="utf-8"?>
<formControlPr xmlns="http://schemas.microsoft.com/office/spreadsheetml/2009/9/main" objectType="CheckBox" lockText="1" noThreeD="1"/>
</file>

<file path=xl/ctrlProps/ctrlProp704.xml><?xml version="1.0" encoding="utf-8"?>
<formControlPr xmlns="http://schemas.microsoft.com/office/spreadsheetml/2009/9/main" objectType="CheckBox" lockText="1" noThreeD="1"/>
</file>

<file path=xl/ctrlProps/ctrlProp705.xml><?xml version="1.0" encoding="utf-8"?>
<formControlPr xmlns="http://schemas.microsoft.com/office/spreadsheetml/2009/9/main" objectType="CheckBox" lockText="1" noThreeD="1"/>
</file>

<file path=xl/ctrlProps/ctrlProp706.xml><?xml version="1.0" encoding="utf-8"?>
<formControlPr xmlns="http://schemas.microsoft.com/office/spreadsheetml/2009/9/main" objectType="CheckBox" lockText="1" noThreeD="1"/>
</file>

<file path=xl/ctrlProps/ctrlProp707.xml><?xml version="1.0" encoding="utf-8"?>
<formControlPr xmlns="http://schemas.microsoft.com/office/spreadsheetml/2009/9/main" objectType="CheckBox" lockText="1" noThreeD="1"/>
</file>

<file path=xl/ctrlProps/ctrlProp708.xml><?xml version="1.0" encoding="utf-8"?>
<formControlPr xmlns="http://schemas.microsoft.com/office/spreadsheetml/2009/9/main" objectType="CheckBox" lockText="1" noThreeD="1"/>
</file>

<file path=xl/ctrlProps/ctrlProp709.xml><?xml version="1.0" encoding="utf-8"?>
<formControlPr xmlns="http://schemas.microsoft.com/office/spreadsheetml/2009/9/main" objectType="CheckBox" lockText="1" noThreeD="1"/>
</file>

<file path=xl/ctrlProps/ctrlProp710.xml><?xml version="1.0" encoding="utf-8"?>
<formControlPr xmlns="http://schemas.microsoft.com/office/spreadsheetml/2009/9/main" objectType="CheckBox" lockText="1" noThreeD="1"/>
</file>

<file path=xl/ctrlProps/ctrlProp711.xml><?xml version="1.0" encoding="utf-8"?>
<formControlPr xmlns="http://schemas.microsoft.com/office/spreadsheetml/2009/9/main" objectType="CheckBox" lockText="1" noThreeD="1"/>
</file>

<file path=xl/ctrlProps/ctrlProp712.xml><?xml version="1.0" encoding="utf-8"?>
<formControlPr xmlns="http://schemas.microsoft.com/office/spreadsheetml/2009/9/main" objectType="CheckBox" checked="Checked" lockText="1" noThreeD="1"/>
</file>

<file path=xl/ctrlProps/ctrlProp713.xml><?xml version="1.0" encoding="utf-8"?>
<formControlPr xmlns="http://schemas.microsoft.com/office/spreadsheetml/2009/9/main" objectType="CheckBox" lockText="1" noThreeD="1"/>
</file>

<file path=xl/ctrlProps/ctrlProp714.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433" name="Check Box 1" hidden="1">
              <a:extLst>
                <a:ext uri="{63B3BB69-23CF-44E3-9099-C40C66FF867C}">
                  <a14:compatExt spid="_x0000_s18433"/>
                </a:ext>
                <a:ext uri="{FF2B5EF4-FFF2-40B4-BE49-F238E27FC236}">
                  <a16:creationId xmlns:a16="http://schemas.microsoft.com/office/drawing/2014/main" id="{00000000-0008-0000-0000-00000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434" name="Check Box 2" hidden="1">
              <a:extLst>
                <a:ext uri="{63B3BB69-23CF-44E3-9099-C40C66FF867C}">
                  <a14:compatExt spid="_x0000_s18434"/>
                </a:ext>
                <a:ext uri="{FF2B5EF4-FFF2-40B4-BE49-F238E27FC236}">
                  <a16:creationId xmlns:a16="http://schemas.microsoft.com/office/drawing/2014/main" id="{00000000-0008-0000-0000-00000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435" name="Check Box 3" hidden="1">
              <a:extLst>
                <a:ext uri="{63B3BB69-23CF-44E3-9099-C40C66FF867C}">
                  <a14:compatExt spid="_x0000_s18435"/>
                </a:ext>
                <a:ext uri="{FF2B5EF4-FFF2-40B4-BE49-F238E27FC236}">
                  <a16:creationId xmlns:a16="http://schemas.microsoft.com/office/drawing/2014/main" id="{00000000-0008-0000-0000-00000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436" name="Check Box 4" hidden="1">
              <a:extLst>
                <a:ext uri="{63B3BB69-23CF-44E3-9099-C40C66FF867C}">
                  <a14:compatExt spid="_x0000_s18436"/>
                </a:ext>
                <a:ext uri="{FF2B5EF4-FFF2-40B4-BE49-F238E27FC236}">
                  <a16:creationId xmlns:a16="http://schemas.microsoft.com/office/drawing/2014/main" id="{00000000-0008-0000-0000-00000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437" name="Check Box 5" hidden="1">
              <a:extLst>
                <a:ext uri="{63B3BB69-23CF-44E3-9099-C40C66FF867C}">
                  <a14:compatExt spid="_x0000_s18437"/>
                </a:ext>
                <a:ext uri="{FF2B5EF4-FFF2-40B4-BE49-F238E27FC236}">
                  <a16:creationId xmlns:a16="http://schemas.microsoft.com/office/drawing/2014/main" id="{00000000-0008-0000-0000-00000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438" name="Check Box 6" hidden="1">
              <a:extLst>
                <a:ext uri="{63B3BB69-23CF-44E3-9099-C40C66FF867C}">
                  <a14:compatExt spid="_x0000_s18438"/>
                </a:ext>
                <a:ext uri="{FF2B5EF4-FFF2-40B4-BE49-F238E27FC236}">
                  <a16:creationId xmlns:a16="http://schemas.microsoft.com/office/drawing/2014/main" id="{00000000-0008-0000-0000-00000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439" name="Check Box 7" hidden="1">
              <a:extLst>
                <a:ext uri="{63B3BB69-23CF-44E3-9099-C40C66FF867C}">
                  <a14:compatExt spid="_x0000_s18439"/>
                </a:ext>
                <a:ext uri="{FF2B5EF4-FFF2-40B4-BE49-F238E27FC236}">
                  <a16:creationId xmlns:a16="http://schemas.microsoft.com/office/drawing/2014/main" id="{00000000-0008-0000-0000-00000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440" name="Check Box 8" hidden="1">
              <a:extLst>
                <a:ext uri="{63B3BB69-23CF-44E3-9099-C40C66FF867C}">
                  <a14:compatExt spid="_x0000_s18440"/>
                </a:ext>
                <a:ext uri="{FF2B5EF4-FFF2-40B4-BE49-F238E27FC236}">
                  <a16:creationId xmlns:a16="http://schemas.microsoft.com/office/drawing/2014/main" id="{00000000-0008-0000-0000-00000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441" name="Check Box 9" hidden="1">
              <a:extLst>
                <a:ext uri="{63B3BB69-23CF-44E3-9099-C40C66FF867C}">
                  <a14:compatExt spid="_x0000_s18441"/>
                </a:ext>
                <a:ext uri="{FF2B5EF4-FFF2-40B4-BE49-F238E27FC236}">
                  <a16:creationId xmlns:a16="http://schemas.microsoft.com/office/drawing/2014/main" id="{00000000-0008-0000-0000-00000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442" name="Check Box 10" hidden="1">
              <a:extLst>
                <a:ext uri="{63B3BB69-23CF-44E3-9099-C40C66FF867C}">
                  <a14:compatExt spid="_x0000_s18442"/>
                </a:ext>
                <a:ext uri="{FF2B5EF4-FFF2-40B4-BE49-F238E27FC236}">
                  <a16:creationId xmlns:a16="http://schemas.microsoft.com/office/drawing/2014/main" id="{00000000-0008-0000-0000-00000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443" name="Check Box 11" hidden="1">
              <a:extLst>
                <a:ext uri="{63B3BB69-23CF-44E3-9099-C40C66FF867C}">
                  <a14:compatExt spid="_x0000_s18443"/>
                </a:ext>
                <a:ext uri="{FF2B5EF4-FFF2-40B4-BE49-F238E27FC236}">
                  <a16:creationId xmlns:a16="http://schemas.microsoft.com/office/drawing/2014/main" id="{00000000-0008-0000-0000-00000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450" name="Check Box 18" hidden="1">
              <a:extLst>
                <a:ext uri="{63B3BB69-23CF-44E3-9099-C40C66FF867C}">
                  <a14:compatExt spid="_x0000_s18450"/>
                </a:ext>
                <a:ext uri="{FF2B5EF4-FFF2-40B4-BE49-F238E27FC236}">
                  <a16:creationId xmlns:a16="http://schemas.microsoft.com/office/drawing/2014/main" id="{00000000-0008-0000-0000-00001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451" name="Check Box 19" hidden="1">
              <a:extLst>
                <a:ext uri="{63B3BB69-23CF-44E3-9099-C40C66FF867C}">
                  <a14:compatExt spid="_x0000_s18451"/>
                </a:ext>
                <a:ext uri="{FF2B5EF4-FFF2-40B4-BE49-F238E27FC236}">
                  <a16:creationId xmlns:a16="http://schemas.microsoft.com/office/drawing/2014/main" id="{00000000-0008-0000-0000-00001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452" name="Check Box 20" hidden="1">
              <a:extLst>
                <a:ext uri="{63B3BB69-23CF-44E3-9099-C40C66FF867C}">
                  <a14:compatExt spid="_x0000_s18452"/>
                </a:ext>
                <a:ext uri="{FF2B5EF4-FFF2-40B4-BE49-F238E27FC236}">
                  <a16:creationId xmlns:a16="http://schemas.microsoft.com/office/drawing/2014/main" id="{00000000-0008-0000-0000-00001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453" name="Check Box 21" hidden="1">
              <a:extLst>
                <a:ext uri="{63B3BB69-23CF-44E3-9099-C40C66FF867C}">
                  <a14:compatExt spid="_x0000_s18453"/>
                </a:ext>
                <a:ext uri="{FF2B5EF4-FFF2-40B4-BE49-F238E27FC236}">
                  <a16:creationId xmlns:a16="http://schemas.microsoft.com/office/drawing/2014/main" id="{00000000-0008-0000-0000-00001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454" name="Check Box 22" hidden="1">
              <a:extLst>
                <a:ext uri="{63B3BB69-23CF-44E3-9099-C40C66FF867C}">
                  <a14:compatExt spid="_x0000_s18454"/>
                </a:ext>
                <a:ext uri="{FF2B5EF4-FFF2-40B4-BE49-F238E27FC236}">
                  <a16:creationId xmlns:a16="http://schemas.microsoft.com/office/drawing/2014/main" id="{00000000-0008-0000-0000-00001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455" name="Check Box 23" hidden="1">
              <a:extLst>
                <a:ext uri="{63B3BB69-23CF-44E3-9099-C40C66FF867C}">
                  <a14:compatExt spid="_x0000_s18455"/>
                </a:ext>
                <a:ext uri="{FF2B5EF4-FFF2-40B4-BE49-F238E27FC236}">
                  <a16:creationId xmlns:a16="http://schemas.microsoft.com/office/drawing/2014/main" id="{00000000-0008-0000-0000-00001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456" name="Check Box 24" hidden="1">
              <a:extLst>
                <a:ext uri="{63B3BB69-23CF-44E3-9099-C40C66FF867C}">
                  <a14:compatExt spid="_x0000_s18456"/>
                </a:ext>
                <a:ext uri="{FF2B5EF4-FFF2-40B4-BE49-F238E27FC236}">
                  <a16:creationId xmlns:a16="http://schemas.microsoft.com/office/drawing/2014/main" id="{00000000-0008-0000-0000-00001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457" name="Check Box 25" hidden="1">
              <a:extLst>
                <a:ext uri="{63B3BB69-23CF-44E3-9099-C40C66FF867C}">
                  <a14:compatExt spid="_x0000_s18457"/>
                </a:ext>
                <a:ext uri="{FF2B5EF4-FFF2-40B4-BE49-F238E27FC236}">
                  <a16:creationId xmlns:a16="http://schemas.microsoft.com/office/drawing/2014/main" id="{00000000-0008-0000-0000-00001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458" name="Check Box 26" hidden="1">
              <a:extLst>
                <a:ext uri="{63B3BB69-23CF-44E3-9099-C40C66FF867C}">
                  <a14:compatExt spid="_x0000_s18458"/>
                </a:ext>
                <a:ext uri="{FF2B5EF4-FFF2-40B4-BE49-F238E27FC236}">
                  <a16:creationId xmlns:a16="http://schemas.microsoft.com/office/drawing/2014/main" id="{00000000-0008-0000-0000-00001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459" name="Check Box 27" hidden="1">
              <a:extLst>
                <a:ext uri="{63B3BB69-23CF-44E3-9099-C40C66FF867C}">
                  <a14:compatExt spid="_x0000_s18459"/>
                </a:ext>
                <a:ext uri="{FF2B5EF4-FFF2-40B4-BE49-F238E27FC236}">
                  <a16:creationId xmlns:a16="http://schemas.microsoft.com/office/drawing/2014/main" id="{00000000-0008-0000-0000-00001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460" name="Check Box 28" hidden="1">
              <a:extLst>
                <a:ext uri="{63B3BB69-23CF-44E3-9099-C40C66FF867C}">
                  <a14:compatExt spid="_x0000_s18460"/>
                </a:ext>
                <a:ext uri="{FF2B5EF4-FFF2-40B4-BE49-F238E27FC236}">
                  <a16:creationId xmlns:a16="http://schemas.microsoft.com/office/drawing/2014/main" id="{00000000-0008-0000-0000-00001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466" name="Check Box 34" hidden="1">
              <a:extLst>
                <a:ext uri="{63B3BB69-23CF-44E3-9099-C40C66FF867C}">
                  <a14:compatExt spid="_x0000_s18466"/>
                </a:ext>
                <a:ext uri="{FF2B5EF4-FFF2-40B4-BE49-F238E27FC236}">
                  <a16:creationId xmlns:a16="http://schemas.microsoft.com/office/drawing/2014/main" id="{00000000-0008-0000-0000-00002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467" name="Check Box 35" hidden="1">
              <a:extLst>
                <a:ext uri="{63B3BB69-23CF-44E3-9099-C40C66FF867C}">
                  <a14:compatExt spid="_x0000_s18467"/>
                </a:ext>
                <a:ext uri="{FF2B5EF4-FFF2-40B4-BE49-F238E27FC236}">
                  <a16:creationId xmlns:a16="http://schemas.microsoft.com/office/drawing/2014/main" id="{00000000-0008-0000-0000-00002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468" name="Check Box 36" hidden="1">
              <a:extLst>
                <a:ext uri="{63B3BB69-23CF-44E3-9099-C40C66FF867C}">
                  <a14:compatExt spid="_x0000_s18468"/>
                </a:ext>
                <a:ext uri="{FF2B5EF4-FFF2-40B4-BE49-F238E27FC236}">
                  <a16:creationId xmlns:a16="http://schemas.microsoft.com/office/drawing/2014/main" id="{00000000-0008-0000-0000-00002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469" name="Check Box 37" hidden="1">
              <a:extLst>
                <a:ext uri="{63B3BB69-23CF-44E3-9099-C40C66FF867C}">
                  <a14:compatExt spid="_x0000_s18469"/>
                </a:ext>
                <a:ext uri="{FF2B5EF4-FFF2-40B4-BE49-F238E27FC236}">
                  <a16:creationId xmlns:a16="http://schemas.microsoft.com/office/drawing/2014/main" id="{00000000-0008-0000-0000-00002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470" name="Check Box 38" hidden="1">
              <a:extLst>
                <a:ext uri="{63B3BB69-23CF-44E3-9099-C40C66FF867C}">
                  <a14:compatExt spid="_x0000_s18470"/>
                </a:ext>
                <a:ext uri="{FF2B5EF4-FFF2-40B4-BE49-F238E27FC236}">
                  <a16:creationId xmlns:a16="http://schemas.microsoft.com/office/drawing/2014/main" id="{00000000-0008-0000-0000-00002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471" name="Check Box 39" hidden="1">
              <a:extLst>
                <a:ext uri="{63B3BB69-23CF-44E3-9099-C40C66FF867C}">
                  <a14:compatExt spid="_x0000_s18471"/>
                </a:ext>
                <a:ext uri="{FF2B5EF4-FFF2-40B4-BE49-F238E27FC236}">
                  <a16:creationId xmlns:a16="http://schemas.microsoft.com/office/drawing/2014/main" id="{00000000-0008-0000-0000-00002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472" name="Check Box 40" hidden="1">
              <a:extLst>
                <a:ext uri="{63B3BB69-23CF-44E3-9099-C40C66FF867C}">
                  <a14:compatExt spid="_x0000_s18472"/>
                </a:ext>
                <a:ext uri="{FF2B5EF4-FFF2-40B4-BE49-F238E27FC236}">
                  <a16:creationId xmlns:a16="http://schemas.microsoft.com/office/drawing/2014/main" id="{00000000-0008-0000-0000-00002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473" name="Check Box 41" hidden="1">
              <a:extLst>
                <a:ext uri="{63B3BB69-23CF-44E3-9099-C40C66FF867C}">
                  <a14:compatExt spid="_x0000_s18473"/>
                </a:ext>
                <a:ext uri="{FF2B5EF4-FFF2-40B4-BE49-F238E27FC236}">
                  <a16:creationId xmlns:a16="http://schemas.microsoft.com/office/drawing/2014/main" id="{00000000-0008-0000-0000-00002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474" name="Check Box 42" hidden="1">
              <a:extLst>
                <a:ext uri="{63B3BB69-23CF-44E3-9099-C40C66FF867C}">
                  <a14:compatExt spid="_x0000_s18474"/>
                </a:ext>
                <a:ext uri="{FF2B5EF4-FFF2-40B4-BE49-F238E27FC236}">
                  <a16:creationId xmlns:a16="http://schemas.microsoft.com/office/drawing/2014/main" id="{00000000-0008-0000-0000-00002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475" name="Check Box 43" hidden="1">
              <a:extLst>
                <a:ext uri="{63B3BB69-23CF-44E3-9099-C40C66FF867C}">
                  <a14:compatExt spid="_x0000_s18475"/>
                </a:ext>
                <a:ext uri="{FF2B5EF4-FFF2-40B4-BE49-F238E27FC236}">
                  <a16:creationId xmlns:a16="http://schemas.microsoft.com/office/drawing/2014/main" id="{00000000-0008-0000-0000-00002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476" name="Check Box 44" hidden="1">
              <a:extLst>
                <a:ext uri="{63B3BB69-23CF-44E3-9099-C40C66FF867C}">
                  <a14:compatExt spid="_x0000_s18476"/>
                </a:ext>
                <a:ext uri="{FF2B5EF4-FFF2-40B4-BE49-F238E27FC236}">
                  <a16:creationId xmlns:a16="http://schemas.microsoft.com/office/drawing/2014/main" id="{00000000-0008-0000-0000-00002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481" name="Check Box 49" hidden="1">
              <a:extLst>
                <a:ext uri="{63B3BB69-23CF-44E3-9099-C40C66FF867C}">
                  <a14:compatExt spid="_x0000_s18481"/>
                </a:ext>
                <a:ext uri="{FF2B5EF4-FFF2-40B4-BE49-F238E27FC236}">
                  <a16:creationId xmlns:a16="http://schemas.microsoft.com/office/drawing/2014/main" id="{00000000-0008-0000-0000-00003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482" name="Check Box 50" hidden="1">
              <a:extLst>
                <a:ext uri="{63B3BB69-23CF-44E3-9099-C40C66FF867C}">
                  <a14:compatExt spid="_x0000_s18482"/>
                </a:ext>
                <a:ext uri="{FF2B5EF4-FFF2-40B4-BE49-F238E27FC236}">
                  <a16:creationId xmlns:a16="http://schemas.microsoft.com/office/drawing/2014/main" id="{00000000-0008-0000-0000-00003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483" name="Check Box 51" hidden="1">
              <a:extLst>
                <a:ext uri="{63B3BB69-23CF-44E3-9099-C40C66FF867C}">
                  <a14:compatExt spid="_x0000_s18483"/>
                </a:ext>
                <a:ext uri="{FF2B5EF4-FFF2-40B4-BE49-F238E27FC236}">
                  <a16:creationId xmlns:a16="http://schemas.microsoft.com/office/drawing/2014/main" id="{00000000-0008-0000-0000-00003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484" name="Check Box 52" hidden="1">
              <a:extLst>
                <a:ext uri="{63B3BB69-23CF-44E3-9099-C40C66FF867C}">
                  <a14:compatExt spid="_x0000_s18484"/>
                </a:ext>
                <a:ext uri="{FF2B5EF4-FFF2-40B4-BE49-F238E27FC236}">
                  <a16:creationId xmlns:a16="http://schemas.microsoft.com/office/drawing/2014/main" id="{00000000-0008-0000-0000-00003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485" name="Check Box 53" hidden="1">
              <a:extLst>
                <a:ext uri="{63B3BB69-23CF-44E3-9099-C40C66FF867C}">
                  <a14:compatExt spid="_x0000_s18485"/>
                </a:ext>
                <a:ext uri="{FF2B5EF4-FFF2-40B4-BE49-F238E27FC236}">
                  <a16:creationId xmlns:a16="http://schemas.microsoft.com/office/drawing/2014/main" id="{00000000-0008-0000-0000-00003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486" name="Check Box 54" hidden="1">
              <a:extLst>
                <a:ext uri="{63B3BB69-23CF-44E3-9099-C40C66FF867C}">
                  <a14:compatExt spid="_x0000_s18486"/>
                </a:ext>
                <a:ext uri="{FF2B5EF4-FFF2-40B4-BE49-F238E27FC236}">
                  <a16:creationId xmlns:a16="http://schemas.microsoft.com/office/drawing/2014/main" id="{00000000-0008-0000-0000-00003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487" name="Check Box 55" hidden="1">
              <a:extLst>
                <a:ext uri="{63B3BB69-23CF-44E3-9099-C40C66FF867C}">
                  <a14:compatExt spid="_x0000_s18487"/>
                </a:ext>
                <a:ext uri="{FF2B5EF4-FFF2-40B4-BE49-F238E27FC236}">
                  <a16:creationId xmlns:a16="http://schemas.microsoft.com/office/drawing/2014/main" id="{00000000-0008-0000-0000-00003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488" name="Check Box 56" hidden="1">
              <a:extLst>
                <a:ext uri="{63B3BB69-23CF-44E3-9099-C40C66FF867C}">
                  <a14:compatExt spid="_x0000_s18488"/>
                </a:ext>
                <a:ext uri="{FF2B5EF4-FFF2-40B4-BE49-F238E27FC236}">
                  <a16:creationId xmlns:a16="http://schemas.microsoft.com/office/drawing/2014/main" id="{00000000-0008-0000-0000-00003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489" name="Check Box 57" hidden="1">
              <a:extLst>
                <a:ext uri="{63B3BB69-23CF-44E3-9099-C40C66FF867C}">
                  <a14:compatExt spid="_x0000_s18489"/>
                </a:ext>
                <a:ext uri="{FF2B5EF4-FFF2-40B4-BE49-F238E27FC236}">
                  <a16:creationId xmlns:a16="http://schemas.microsoft.com/office/drawing/2014/main" id="{00000000-0008-0000-0000-00003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490" name="Check Box 58" hidden="1">
              <a:extLst>
                <a:ext uri="{63B3BB69-23CF-44E3-9099-C40C66FF867C}">
                  <a14:compatExt spid="_x0000_s18490"/>
                </a:ext>
                <a:ext uri="{FF2B5EF4-FFF2-40B4-BE49-F238E27FC236}">
                  <a16:creationId xmlns:a16="http://schemas.microsoft.com/office/drawing/2014/main" id="{00000000-0008-0000-0000-00003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491" name="Check Box 59" hidden="1">
              <a:extLst>
                <a:ext uri="{63B3BB69-23CF-44E3-9099-C40C66FF867C}">
                  <a14:compatExt spid="_x0000_s18491"/>
                </a:ext>
                <a:ext uri="{FF2B5EF4-FFF2-40B4-BE49-F238E27FC236}">
                  <a16:creationId xmlns:a16="http://schemas.microsoft.com/office/drawing/2014/main" id="{00000000-0008-0000-0000-00003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496" name="Check Box 64" hidden="1">
              <a:extLst>
                <a:ext uri="{63B3BB69-23CF-44E3-9099-C40C66FF867C}">
                  <a14:compatExt spid="_x0000_s18496"/>
                </a:ext>
                <a:ext uri="{FF2B5EF4-FFF2-40B4-BE49-F238E27FC236}">
                  <a16:creationId xmlns:a16="http://schemas.microsoft.com/office/drawing/2014/main" id="{00000000-0008-0000-0000-00004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497" name="Check Box 65" hidden="1">
              <a:extLst>
                <a:ext uri="{63B3BB69-23CF-44E3-9099-C40C66FF867C}">
                  <a14:compatExt spid="_x0000_s18497"/>
                </a:ext>
                <a:ext uri="{FF2B5EF4-FFF2-40B4-BE49-F238E27FC236}">
                  <a16:creationId xmlns:a16="http://schemas.microsoft.com/office/drawing/2014/main" id="{00000000-0008-0000-0000-00004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498" name="Check Box 66" hidden="1">
              <a:extLst>
                <a:ext uri="{63B3BB69-23CF-44E3-9099-C40C66FF867C}">
                  <a14:compatExt spid="_x0000_s18498"/>
                </a:ext>
                <a:ext uri="{FF2B5EF4-FFF2-40B4-BE49-F238E27FC236}">
                  <a16:creationId xmlns:a16="http://schemas.microsoft.com/office/drawing/2014/main" id="{00000000-0008-0000-0000-00004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499" name="Check Box 67" hidden="1">
              <a:extLst>
                <a:ext uri="{63B3BB69-23CF-44E3-9099-C40C66FF867C}">
                  <a14:compatExt spid="_x0000_s18499"/>
                </a:ext>
                <a:ext uri="{FF2B5EF4-FFF2-40B4-BE49-F238E27FC236}">
                  <a16:creationId xmlns:a16="http://schemas.microsoft.com/office/drawing/2014/main" id="{00000000-0008-0000-0000-00004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500" name="Check Box 68" hidden="1">
              <a:extLst>
                <a:ext uri="{63B3BB69-23CF-44E3-9099-C40C66FF867C}">
                  <a14:compatExt spid="_x0000_s18500"/>
                </a:ext>
                <a:ext uri="{FF2B5EF4-FFF2-40B4-BE49-F238E27FC236}">
                  <a16:creationId xmlns:a16="http://schemas.microsoft.com/office/drawing/2014/main" id="{00000000-0008-0000-0000-00004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501" name="Check Box 69" hidden="1">
              <a:extLst>
                <a:ext uri="{63B3BB69-23CF-44E3-9099-C40C66FF867C}">
                  <a14:compatExt spid="_x0000_s18501"/>
                </a:ext>
                <a:ext uri="{FF2B5EF4-FFF2-40B4-BE49-F238E27FC236}">
                  <a16:creationId xmlns:a16="http://schemas.microsoft.com/office/drawing/2014/main" id="{00000000-0008-0000-0000-00004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502" name="Check Box 70" hidden="1">
              <a:extLst>
                <a:ext uri="{63B3BB69-23CF-44E3-9099-C40C66FF867C}">
                  <a14:compatExt spid="_x0000_s18502"/>
                </a:ext>
                <a:ext uri="{FF2B5EF4-FFF2-40B4-BE49-F238E27FC236}">
                  <a16:creationId xmlns:a16="http://schemas.microsoft.com/office/drawing/2014/main" id="{00000000-0008-0000-0000-00004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503" name="Check Box 71" hidden="1">
              <a:extLst>
                <a:ext uri="{63B3BB69-23CF-44E3-9099-C40C66FF867C}">
                  <a14:compatExt spid="_x0000_s18503"/>
                </a:ext>
                <a:ext uri="{FF2B5EF4-FFF2-40B4-BE49-F238E27FC236}">
                  <a16:creationId xmlns:a16="http://schemas.microsoft.com/office/drawing/2014/main" id="{00000000-0008-0000-0000-00004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504" name="Check Box 72" hidden="1">
              <a:extLst>
                <a:ext uri="{63B3BB69-23CF-44E3-9099-C40C66FF867C}">
                  <a14:compatExt spid="_x0000_s18504"/>
                </a:ext>
                <a:ext uri="{FF2B5EF4-FFF2-40B4-BE49-F238E27FC236}">
                  <a16:creationId xmlns:a16="http://schemas.microsoft.com/office/drawing/2014/main" id="{00000000-0008-0000-0000-00004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505" name="Check Box 73" hidden="1">
              <a:extLst>
                <a:ext uri="{63B3BB69-23CF-44E3-9099-C40C66FF867C}">
                  <a14:compatExt spid="_x0000_s18505"/>
                </a:ext>
                <a:ext uri="{FF2B5EF4-FFF2-40B4-BE49-F238E27FC236}">
                  <a16:creationId xmlns:a16="http://schemas.microsoft.com/office/drawing/2014/main" id="{00000000-0008-0000-0000-00004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506" name="Check Box 74" hidden="1">
              <a:extLst>
                <a:ext uri="{63B3BB69-23CF-44E3-9099-C40C66FF867C}">
                  <a14:compatExt spid="_x0000_s18506"/>
                </a:ext>
                <a:ext uri="{FF2B5EF4-FFF2-40B4-BE49-F238E27FC236}">
                  <a16:creationId xmlns:a16="http://schemas.microsoft.com/office/drawing/2014/main" id="{00000000-0008-0000-0000-00004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513" name="Check Box 81" hidden="1">
              <a:extLst>
                <a:ext uri="{63B3BB69-23CF-44E3-9099-C40C66FF867C}">
                  <a14:compatExt spid="_x0000_s18513"/>
                </a:ext>
                <a:ext uri="{FF2B5EF4-FFF2-40B4-BE49-F238E27FC236}">
                  <a16:creationId xmlns:a16="http://schemas.microsoft.com/office/drawing/2014/main" id="{00000000-0008-0000-0000-00005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514" name="Check Box 82" hidden="1">
              <a:extLst>
                <a:ext uri="{63B3BB69-23CF-44E3-9099-C40C66FF867C}">
                  <a14:compatExt spid="_x0000_s18514"/>
                </a:ext>
                <a:ext uri="{FF2B5EF4-FFF2-40B4-BE49-F238E27FC236}">
                  <a16:creationId xmlns:a16="http://schemas.microsoft.com/office/drawing/2014/main" id="{00000000-0008-0000-0000-00005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515" name="Check Box 83" hidden="1">
              <a:extLst>
                <a:ext uri="{63B3BB69-23CF-44E3-9099-C40C66FF867C}">
                  <a14:compatExt spid="_x0000_s18515"/>
                </a:ext>
                <a:ext uri="{FF2B5EF4-FFF2-40B4-BE49-F238E27FC236}">
                  <a16:creationId xmlns:a16="http://schemas.microsoft.com/office/drawing/2014/main" id="{00000000-0008-0000-0000-00005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516" name="Check Box 84" hidden="1">
              <a:extLst>
                <a:ext uri="{63B3BB69-23CF-44E3-9099-C40C66FF867C}">
                  <a14:compatExt spid="_x0000_s18516"/>
                </a:ext>
                <a:ext uri="{FF2B5EF4-FFF2-40B4-BE49-F238E27FC236}">
                  <a16:creationId xmlns:a16="http://schemas.microsoft.com/office/drawing/2014/main" id="{00000000-0008-0000-0000-00005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517" name="Check Box 85" hidden="1">
              <a:extLst>
                <a:ext uri="{63B3BB69-23CF-44E3-9099-C40C66FF867C}">
                  <a14:compatExt spid="_x0000_s18517"/>
                </a:ext>
                <a:ext uri="{FF2B5EF4-FFF2-40B4-BE49-F238E27FC236}">
                  <a16:creationId xmlns:a16="http://schemas.microsoft.com/office/drawing/2014/main" id="{00000000-0008-0000-0000-00005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518" name="Check Box 86" hidden="1">
              <a:extLst>
                <a:ext uri="{63B3BB69-23CF-44E3-9099-C40C66FF867C}">
                  <a14:compatExt spid="_x0000_s18518"/>
                </a:ext>
                <a:ext uri="{FF2B5EF4-FFF2-40B4-BE49-F238E27FC236}">
                  <a16:creationId xmlns:a16="http://schemas.microsoft.com/office/drawing/2014/main" id="{00000000-0008-0000-0000-00005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519" name="Check Box 87" hidden="1">
              <a:extLst>
                <a:ext uri="{63B3BB69-23CF-44E3-9099-C40C66FF867C}">
                  <a14:compatExt spid="_x0000_s18519"/>
                </a:ext>
                <a:ext uri="{FF2B5EF4-FFF2-40B4-BE49-F238E27FC236}">
                  <a16:creationId xmlns:a16="http://schemas.microsoft.com/office/drawing/2014/main" id="{00000000-0008-0000-0000-00005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520" name="Check Box 88" hidden="1">
              <a:extLst>
                <a:ext uri="{63B3BB69-23CF-44E3-9099-C40C66FF867C}">
                  <a14:compatExt spid="_x0000_s18520"/>
                </a:ext>
                <a:ext uri="{FF2B5EF4-FFF2-40B4-BE49-F238E27FC236}">
                  <a16:creationId xmlns:a16="http://schemas.microsoft.com/office/drawing/2014/main" id="{00000000-0008-0000-0000-00005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521" name="Check Box 89" hidden="1">
              <a:extLst>
                <a:ext uri="{63B3BB69-23CF-44E3-9099-C40C66FF867C}">
                  <a14:compatExt spid="_x0000_s18521"/>
                </a:ext>
                <a:ext uri="{FF2B5EF4-FFF2-40B4-BE49-F238E27FC236}">
                  <a16:creationId xmlns:a16="http://schemas.microsoft.com/office/drawing/2014/main" id="{00000000-0008-0000-0000-00005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522" name="Check Box 90" hidden="1">
              <a:extLst>
                <a:ext uri="{63B3BB69-23CF-44E3-9099-C40C66FF867C}">
                  <a14:compatExt spid="_x0000_s18522"/>
                </a:ext>
                <a:ext uri="{FF2B5EF4-FFF2-40B4-BE49-F238E27FC236}">
                  <a16:creationId xmlns:a16="http://schemas.microsoft.com/office/drawing/2014/main" id="{00000000-0008-0000-0000-00005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523" name="Check Box 91" hidden="1">
              <a:extLst>
                <a:ext uri="{63B3BB69-23CF-44E3-9099-C40C66FF867C}">
                  <a14:compatExt spid="_x0000_s18523"/>
                </a:ext>
                <a:ext uri="{FF2B5EF4-FFF2-40B4-BE49-F238E27FC236}">
                  <a16:creationId xmlns:a16="http://schemas.microsoft.com/office/drawing/2014/main" id="{00000000-0008-0000-0000-00005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529" name="Check Box 97" hidden="1">
              <a:extLst>
                <a:ext uri="{63B3BB69-23CF-44E3-9099-C40C66FF867C}">
                  <a14:compatExt spid="_x0000_s18529"/>
                </a:ext>
                <a:ext uri="{FF2B5EF4-FFF2-40B4-BE49-F238E27FC236}">
                  <a16:creationId xmlns:a16="http://schemas.microsoft.com/office/drawing/2014/main" id="{00000000-0008-0000-0000-00006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530" name="Check Box 98" hidden="1">
              <a:extLst>
                <a:ext uri="{63B3BB69-23CF-44E3-9099-C40C66FF867C}">
                  <a14:compatExt spid="_x0000_s18530"/>
                </a:ext>
                <a:ext uri="{FF2B5EF4-FFF2-40B4-BE49-F238E27FC236}">
                  <a16:creationId xmlns:a16="http://schemas.microsoft.com/office/drawing/2014/main" id="{00000000-0008-0000-0000-00006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531" name="Check Box 99" hidden="1">
              <a:extLst>
                <a:ext uri="{63B3BB69-23CF-44E3-9099-C40C66FF867C}">
                  <a14:compatExt spid="_x0000_s18531"/>
                </a:ext>
                <a:ext uri="{FF2B5EF4-FFF2-40B4-BE49-F238E27FC236}">
                  <a16:creationId xmlns:a16="http://schemas.microsoft.com/office/drawing/2014/main" id="{00000000-0008-0000-0000-00006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532" name="Check Box 100" hidden="1">
              <a:extLst>
                <a:ext uri="{63B3BB69-23CF-44E3-9099-C40C66FF867C}">
                  <a14:compatExt spid="_x0000_s18532"/>
                </a:ext>
                <a:ext uri="{FF2B5EF4-FFF2-40B4-BE49-F238E27FC236}">
                  <a16:creationId xmlns:a16="http://schemas.microsoft.com/office/drawing/2014/main" id="{00000000-0008-0000-0000-00006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533" name="Check Box 101" hidden="1">
              <a:extLst>
                <a:ext uri="{63B3BB69-23CF-44E3-9099-C40C66FF867C}">
                  <a14:compatExt spid="_x0000_s18533"/>
                </a:ext>
                <a:ext uri="{FF2B5EF4-FFF2-40B4-BE49-F238E27FC236}">
                  <a16:creationId xmlns:a16="http://schemas.microsoft.com/office/drawing/2014/main" id="{00000000-0008-0000-0000-00006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534" name="Check Box 102" hidden="1">
              <a:extLst>
                <a:ext uri="{63B3BB69-23CF-44E3-9099-C40C66FF867C}">
                  <a14:compatExt spid="_x0000_s18534"/>
                </a:ext>
                <a:ext uri="{FF2B5EF4-FFF2-40B4-BE49-F238E27FC236}">
                  <a16:creationId xmlns:a16="http://schemas.microsoft.com/office/drawing/2014/main" id="{00000000-0008-0000-0000-00006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535" name="Check Box 103" hidden="1">
              <a:extLst>
                <a:ext uri="{63B3BB69-23CF-44E3-9099-C40C66FF867C}">
                  <a14:compatExt spid="_x0000_s18535"/>
                </a:ext>
                <a:ext uri="{FF2B5EF4-FFF2-40B4-BE49-F238E27FC236}">
                  <a16:creationId xmlns:a16="http://schemas.microsoft.com/office/drawing/2014/main" id="{00000000-0008-0000-0000-00006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536" name="Check Box 104" hidden="1">
              <a:extLst>
                <a:ext uri="{63B3BB69-23CF-44E3-9099-C40C66FF867C}">
                  <a14:compatExt spid="_x0000_s18536"/>
                </a:ext>
                <a:ext uri="{FF2B5EF4-FFF2-40B4-BE49-F238E27FC236}">
                  <a16:creationId xmlns:a16="http://schemas.microsoft.com/office/drawing/2014/main" id="{00000000-0008-0000-0000-00006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537" name="Check Box 105" hidden="1">
              <a:extLst>
                <a:ext uri="{63B3BB69-23CF-44E3-9099-C40C66FF867C}">
                  <a14:compatExt spid="_x0000_s18537"/>
                </a:ext>
                <a:ext uri="{FF2B5EF4-FFF2-40B4-BE49-F238E27FC236}">
                  <a16:creationId xmlns:a16="http://schemas.microsoft.com/office/drawing/2014/main" id="{00000000-0008-0000-0000-00006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538" name="Check Box 106" hidden="1">
              <a:extLst>
                <a:ext uri="{63B3BB69-23CF-44E3-9099-C40C66FF867C}">
                  <a14:compatExt spid="_x0000_s18538"/>
                </a:ext>
                <a:ext uri="{FF2B5EF4-FFF2-40B4-BE49-F238E27FC236}">
                  <a16:creationId xmlns:a16="http://schemas.microsoft.com/office/drawing/2014/main" id="{00000000-0008-0000-0000-00006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539" name="Check Box 107" hidden="1">
              <a:extLst>
                <a:ext uri="{63B3BB69-23CF-44E3-9099-C40C66FF867C}">
                  <a14:compatExt spid="_x0000_s18539"/>
                </a:ext>
                <a:ext uri="{FF2B5EF4-FFF2-40B4-BE49-F238E27FC236}">
                  <a16:creationId xmlns:a16="http://schemas.microsoft.com/office/drawing/2014/main" id="{00000000-0008-0000-0000-00006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581" name="Check Box 149" hidden="1">
              <a:extLst>
                <a:ext uri="{63B3BB69-23CF-44E3-9099-C40C66FF867C}">
                  <a14:compatExt spid="_x0000_s18581"/>
                </a:ext>
                <a:ext uri="{FF2B5EF4-FFF2-40B4-BE49-F238E27FC236}">
                  <a16:creationId xmlns:a16="http://schemas.microsoft.com/office/drawing/2014/main" id="{00000000-0008-0000-0000-00009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582" name="Check Box 150" hidden="1">
              <a:extLst>
                <a:ext uri="{63B3BB69-23CF-44E3-9099-C40C66FF867C}">
                  <a14:compatExt spid="_x0000_s18582"/>
                </a:ext>
                <a:ext uri="{FF2B5EF4-FFF2-40B4-BE49-F238E27FC236}">
                  <a16:creationId xmlns:a16="http://schemas.microsoft.com/office/drawing/2014/main" id="{00000000-0008-0000-0000-00009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583" name="Check Box 151" hidden="1">
              <a:extLst>
                <a:ext uri="{63B3BB69-23CF-44E3-9099-C40C66FF867C}">
                  <a14:compatExt spid="_x0000_s18583"/>
                </a:ext>
                <a:ext uri="{FF2B5EF4-FFF2-40B4-BE49-F238E27FC236}">
                  <a16:creationId xmlns:a16="http://schemas.microsoft.com/office/drawing/2014/main" id="{00000000-0008-0000-0000-00009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584" name="Check Box 152" hidden="1">
              <a:extLst>
                <a:ext uri="{63B3BB69-23CF-44E3-9099-C40C66FF867C}">
                  <a14:compatExt spid="_x0000_s18584"/>
                </a:ext>
                <a:ext uri="{FF2B5EF4-FFF2-40B4-BE49-F238E27FC236}">
                  <a16:creationId xmlns:a16="http://schemas.microsoft.com/office/drawing/2014/main" id="{00000000-0008-0000-0000-00009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585" name="Check Box 153" hidden="1">
              <a:extLst>
                <a:ext uri="{63B3BB69-23CF-44E3-9099-C40C66FF867C}">
                  <a14:compatExt spid="_x0000_s18585"/>
                </a:ext>
                <a:ext uri="{FF2B5EF4-FFF2-40B4-BE49-F238E27FC236}">
                  <a16:creationId xmlns:a16="http://schemas.microsoft.com/office/drawing/2014/main" id="{00000000-0008-0000-0000-00009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586" name="Check Box 154" hidden="1">
              <a:extLst>
                <a:ext uri="{63B3BB69-23CF-44E3-9099-C40C66FF867C}">
                  <a14:compatExt spid="_x0000_s18586"/>
                </a:ext>
                <a:ext uri="{FF2B5EF4-FFF2-40B4-BE49-F238E27FC236}">
                  <a16:creationId xmlns:a16="http://schemas.microsoft.com/office/drawing/2014/main" id="{00000000-0008-0000-0000-00009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587" name="Check Box 155" hidden="1">
              <a:extLst>
                <a:ext uri="{63B3BB69-23CF-44E3-9099-C40C66FF867C}">
                  <a14:compatExt spid="_x0000_s18587"/>
                </a:ext>
                <a:ext uri="{FF2B5EF4-FFF2-40B4-BE49-F238E27FC236}">
                  <a16:creationId xmlns:a16="http://schemas.microsoft.com/office/drawing/2014/main" id="{00000000-0008-0000-0000-00009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588" name="Check Box 156" hidden="1">
              <a:extLst>
                <a:ext uri="{63B3BB69-23CF-44E3-9099-C40C66FF867C}">
                  <a14:compatExt spid="_x0000_s18588"/>
                </a:ext>
                <a:ext uri="{FF2B5EF4-FFF2-40B4-BE49-F238E27FC236}">
                  <a16:creationId xmlns:a16="http://schemas.microsoft.com/office/drawing/2014/main" id="{00000000-0008-0000-0000-00009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589" name="Check Box 157" hidden="1">
              <a:extLst>
                <a:ext uri="{63B3BB69-23CF-44E3-9099-C40C66FF867C}">
                  <a14:compatExt spid="_x0000_s18589"/>
                </a:ext>
                <a:ext uri="{FF2B5EF4-FFF2-40B4-BE49-F238E27FC236}">
                  <a16:creationId xmlns:a16="http://schemas.microsoft.com/office/drawing/2014/main" id="{00000000-0008-0000-0000-00009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590" name="Check Box 158" hidden="1">
              <a:extLst>
                <a:ext uri="{63B3BB69-23CF-44E3-9099-C40C66FF867C}">
                  <a14:compatExt spid="_x0000_s18590"/>
                </a:ext>
                <a:ext uri="{FF2B5EF4-FFF2-40B4-BE49-F238E27FC236}">
                  <a16:creationId xmlns:a16="http://schemas.microsoft.com/office/drawing/2014/main" id="{00000000-0008-0000-0000-00009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591" name="Check Box 159" hidden="1">
              <a:extLst>
                <a:ext uri="{63B3BB69-23CF-44E3-9099-C40C66FF867C}">
                  <a14:compatExt spid="_x0000_s18591"/>
                </a:ext>
                <a:ext uri="{FF2B5EF4-FFF2-40B4-BE49-F238E27FC236}">
                  <a16:creationId xmlns:a16="http://schemas.microsoft.com/office/drawing/2014/main" id="{00000000-0008-0000-0000-00009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597" name="Check Box 165" hidden="1">
              <a:extLst>
                <a:ext uri="{63B3BB69-23CF-44E3-9099-C40C66FF867C}">
                  <a14:compatExt spid="_x0000_s18597"/>
                </a:ext>
                <a:ext uri="{FF2B5EF4-FFF2-40B4-BE49-F238E27FC236}">
                  <a16:creationId xmlns:a16="http://schemas.microsoft.com/office/drawing/2014/main" id="{00000000-0008-0000-0000-0000A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598" name="Check Box 166" hidden="1">
              <a:extLst>
                <a:ext uri="{63B3BB69-23CF-44E3-9099-C40C66FF867C}">
                  <a14:compatExt spid="_x0000_s18598"/>
                </a:ext>
                <a:ext uri="{FF2B5EF4-FFF2-40B4-BE49-F238E27FC236}">
                  <a16:creationId xmlns:a16="http://schemas.microsoft.com/office/drawing/2014/main" id="{00000000-0008-0000-0000-0000A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599" name="Check Box 167" hidden="1">
              <a:extLst>
                <a:ext uri="{63B3BB69-23CF-44E3-9099-C40C66FF867C}">
                  <a14:compatExt spid="_x0000_s18599"/>
                </a:ext>
                <a:ext uri="{FF2B5EF4-FFF2-40B4-BE49-F238E27FC236}">
                  <a16:creationId xmlns:a16="http://schemas.microsoft.com/office/drawing/2014/main" id="{00000000-0008-0000-0000-0000A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600" name="Check Box 168" hidden="1">
              <a:extLst>
                <a:ext uri="{63B3BB69-23CF-44E3-9099-C40C66FF867C}">
                  <a14:compatExt spid="_x0000_s18600"/>
                </a:ext>
                <a:ext uri="{FF2B5EF4-FFF2-40B4-BE49-F238E27FC236}">
                  <a16:creationId xmlns:a16="http://schemas.microsoft.com/office/drawing/2014/main" id="{00000000-0008-0000-0000-0000A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601" name="Check Box 169" hidden="1">
              <a:extLst>
                <a:ext uri="{63B3BB69-23CF-44E3-9099-C40C66FF867C}">
                  <a14:compatExt spid="_x0000_s18601"/>
                </a:ext>
                <a:ext uri="{FF2B5EF4-FFF2-40B4-BE49-F238E27FC236}">
                  <a16:creationId xmlns:a16="http://schemas.microsoft.com/office/drawing/2014/main" id="{00000000-0008-0000-0000-0000A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602" name="Check Box 170" hidden="1">
              <a:extLst>
                <a:ext uri="{63B3BB69-23CF-44E3-9099-C40C66FF867C}">
                  <a14:compatExt spid="_x0000_s18602"/>
                </a:ext>
                <a:ext uri="{FF2B5EF4-FFF2-40B4-BE49-F238E27FC236}">
                  <a16:creationId xmlns:a16="http://schemas.microsoft.com/office/drawing/2014/main" id="{00000000-0008-0000-0000-0000A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603" name="Check Box 171" hidden="1">
              <a:extLst>
                <a:ext uri="{63B3BB69-23CF-44E3-9099-C40C66FF867C}">
                  <a14:compatExt spid="_x0000_s18603"/>
                </a:ext>
                <a:ext uri="{FF2B5EF4-FFF2-40B4-BE49-F238E27FC236}">
                  <a16:creationId xmlns:a16="http://schemas.microsoft.com/office/drawing/2014/main" id="{00000000-0008-0000-0000-0000A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604" name="Check Box 172" hidden="1">
              <a:extLst>
                <a:ext uri="{63B3BB69-23CF-44E3-9099-C40C66FF867C}">
                  <a14:compatExt spid="_x0000_s18604"/>
                </a:ext>
                <a:ext uri="{FF2B5EF4-FFF2-40B4-BE49-F238E27FC236}">
                  <a16:creationId xmlns:a16="http://schemas.microsoft.com/office/drawing/2014/main" id="{00000000-0008-0000-0000-0000A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605" name="Check Box 173" hidden="1">
              <a:extLst>
                <a:ext uri="{63B3BB69-23CF-44E3-9099-C40C66FF867C}">
                  <a14:compatExt spid="_x0000_s18605"/>
                </a:ext>
                <a:ext uri="{FF2B5EF4-FFF2-40B4-BE49-F238E27FC236}">
                  <a16:creationId xmlns:a16="http://schemas.microsoft.com/office/drawing/2014/main" id="{00000000-0008-0000-0000-0000A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606" name="Check Box 174" hidden="1">
              <a:extLst>
                <a:ext uri="{63B3BB69-23CF-44E3-9099-C40C66FF867C}">
                  <a14:compatExt spid="_x0000_s18606"/>
                </a:ext>
                <a:ext uri="{FF2B5EF4-FFF2-40B4-BE49-F238E27FC236}">
                  <a16:creationId xmlns:a16="http://schemas.microsoft.com/office/drawing/2014/main" id="{00000000-0008-0000-0000-0000A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607" name="Check Box 175" hidden="1">
              <a:extLst>
                <a:ext uri="{63B3BB69-23CF-44E3-9099-C40C66FF867C}">
                  <a14:compatExt spid="_x0000_s18607"/>
                </a:ext>
                <a:ext uri="{FF2B5EF4-FFF2-40B4-BE49-F238E27FC236}">
                  <a16:creationId xmlns:a16="http://schemas.microsoft.com/office/drawing/2014/main" id="{00000000-0008-0000-0000-0000A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613" name="Check Box 181" hidden="1">
              <a:extLst>
                <a:ext uri="{63B3BB69-23CF-44E3-9099-C40C66FF867C}">
                  <a14:compatExt spid="_x0000_s18613"/>
                </a:ext>
                <a:ext uri="{FF2B5EF4-FFF2-40B4-BE49-F238E27FC236}">
                  <a16:creationId xmlns:a16="http://schemas.microsoft.com/office/drawing/2014/main" id="{00000000-0008-0000-0000-0000B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614" name="Check Box 182" hidden="1">
              <a:extLst>
                <a:ext uri="{63B3BB69-23CF-44E3-9099-C40C66FF867C}">
                  <a14:compatExt spid="_x0000_s18614"/>
                </a:ext>
                <a:ext uri="{FF2B5EF4-FFF2-40B4-BE49-F238E27FC236}">
                  <a16:creationId xmlns:a16="http://schemas.microsoft.com/office/drawing/2014/main" id="{00000000-0008-0000-0000-0000B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615" name="Check Box 183" hidden="1">
              <a:extLst>
                <a:ext uri="{63B3BB69-23CF-44E3-9099-C40C66FF867C}">
                  <a14:compatExt spid="_x0000_s18615"/>
                </a:ext>
                <a:ext uri="{FF2B5EF4-FFF2-40B4-BE49-F238E27FC236}">
                  <a16:creationId xmlns:a16="http://schemas.microsoft.com/office/drawing/2014/main" id="{00000000-0008-0000-0000-0000B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616" name="Check Box 184" hidden="1">
              <a:extLst>
                <a:ext uri="{63B3BB69-23CF-44E3-9099-C40C66FF867C}">
                  <a14:compatExt spid="_x0000_s18616"/>
                </a:ext>
                <a:ext uri="{FF2B5EF4-FFF2-40B4-BE49-F238E27FC236}">
                  <a16:creationId xmlns:a16="http://schemas.microsoft.com/office/drawing/2014/main" id="{00000000-0008-0000-0000-0000B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617" name="Check Box 185" hidden="1">
              <a:extLst>
                <a:ext uri="{63B3BB69-23CF-44E3-9099-C40C66FF867C}">
                  <a14:compatExt spid="_x0000_s18617"/>
                </a:ext>
                <a:ext uri="{FF2B5EF4-FFF2-40B4-BE49-F238E27FC236}">
                  <a16:creationId xmlns:a16="http://schemas.microsoft.com/office/drawing/2014/main" id="{00000000-0008-0000-0000-0000B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618" name="Check Box 186" hidden="1">
              <a:extLst>
                <a:ext uri="{63B3BB69-23CF-44E3-9099-C40C66FF867C}">
                  <a14:compatExt spid="_x0000_s18618"/>
                </a:ext>
                <a:ext uri="{FF2B5EF4-FFF2-40B4-BE49-F238E27FC236}">
                  <a16:creationId xmlns:a16="http://schemas.microsoft.com/office/drawing/2014/main" id="{00000000-0008-0000-0000-0000B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619" name="Check Box 187" hidden="1">
              <a:extLst>
                <a:ext uri="{63B3BB69-23CF-44E3-9099-C40C66FF867C}">
                  <a14:compatExt spid="_x0000_s18619"/>
                </a:ext>
                <a:ext uri="{FF2B5EF4-FFF2-40B4-BE49-F238E27FC236}">
                  <a16:creationId xmlns:a16="http://schemas.microsoft.com/office/drawing/2014/main" id="{00000000-0008-0000-0000-0000B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620" name="Check Box 188" hidden="1">
              <a:extLst>
                <a:ext uri="{63B3BB69-23CF-44E3-9099-C40C66FF867C}">
                  <a14:compatExt spid="_x0000_s18620"/>
                </a:ext>
                <a:ext uri="{FF2B5EF4-FFF2-40B4-BE49-F238E27FC236}">
                  <a16:creationId xmlns:a16="http://schemas.microsoft.com/office/drawing/2014/main" id="{00000000-0008-0000-0000-0000B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621" name="Check Box 189" hidden="1">
              <a:extLst>
                <a:ext uri="{63B3BB69-23CF-44E3-9099-C40C66FF867C}">
                  <a14:compatExt spid="_x0000_s18621"/>
                </a:ext>
                <a:ext uri="{FF2B5EF4-FFF2-40B4-BE49-F238E27FC236}">
                  <a16:creationId xmlns:a16="http://schemas.microsoft.com/office/drawing/2014/main" id="{00000000-0008-0000-0000-0000B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622" name="Check Box 190" hidden="1">
              <a:extLst>
                <a:ext uri="{63B3BB69-23CF-44E3-9099-C40C66FF867C}">
                  <a14:compatExt spid="_x0000_s18622"/>
                </a:ext>
                <a:ext uri="{FF2B5EF4-FFF2-40B4-BE49-F238E27FC236}">
                  <a16:creationId xmlns:a16="http://schemas.microsoft.com/office/drawing/2014/main" id="{00000000-0008-0000-0000-0000B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623" name="Check Box 191" hidden="1">
              <a:extLst>
                <a:ext uri="{63B3BB69-23CF-44E3-9099-C40C66FF867C}">
                  <a14:compatExt spid="_x0000_s18623"/>
                </a:ext>
                <a:ext uri="{FF2B5EF4-FFF2-40B4-BE49-F238E27FC236}">
                  <a16:creationId xmlns:a16="http://schemas.microsoft.com/office/drawing/2014/main" id="{00000000-0008-0000-0000-0000B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630" name="Check Box 198" hidden="1">
              <a:extLst>
                <a:ext uri="{63B3BB69-23CF-44E3-9099-C40C66FF867C}">
                  <a14:compatExt spid="_x0000_s18630"/>
                </a:ext>
                <a:ext uri="{FF2B5EF4-FFF2-40B4-BE49-F238E27FC236}">
                  <a16:creationId xmlns:a16="http://schemas.microsoft.com/office/drawing/2014/main" id="{00000000-0008-0000-0000-0000C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631" name="Check Box 199" hidden="1">
              <a:extLst>
                <a:ext uri="{63B3BB69-23CF-44E3-9099-C40C66FF867C}">
                  <a14:compatExt spid="_x0000_s18631"/>
                </a:ext>
                <a:ext uri="{FF2B5EF4-FFF2-40B4-BE49-F238E27FC236}">
                  <a16:creationId xmlns:a16="http://schemas.microsoft.com/office/drawing/2014/main" id="{00000000-0008-0000-0000-0000C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632" name="Check Box 200" hidden="1">
              <a:extLst>
                <a:ext uri="{63B3BB69-23CF-44E3-9099-C40C66FF867C}">
                  <a14:compatExt spid="_x0000_s18632"/>
                </a:ext>
                <a:ext uri="{FF2B5EF4-FFF2-40B4-BE49-F238E27FC236}">
                  <a16:creationId xmlns:a16="http://schemas.microsoft.com/office/drawing/2014/main" id="{00000000-0008-0000-0000-0000C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633" name="Check Box 201" hidden="1">
              <a:extLst>
                <a:ext uri="{63B3BB69-23CF-44E3-9099-C40C66FF867C}">
                  <a14:compatExt spid="_x0000_s18633"/>
                </a:ext>
                <a:ext uri="{FF2B5EF4-FFF2-40B4-BE49-F238E27FC236}">
                  <a16:creationId xmlns:a16="http://schemas.microsoft.com/office/drawing/2014/main" id="{00000000-0008-0000-0000-0000C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634" name="Check Box 202" hidden="1">
              <a:extLst>
                <a:ext uri="{63B3BB69-23CF-44E3-9099-C40C66FF867C}">
                  <a14:compatExt spid="_x0000_s18634"/>
                </a:ext>
                <a:ext uri="{FF2B5EF4-FFF2-40B4-BE49-F238E27FC236}">
                  <a16:creationId xmlns:a16="http://schemas.microsoft.com/office/drawing/2014/main" id="{00000000-0008-0000-0000-0000C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635" name="Check Box 203" hidden="1">
              <a:extLst>
                <a:ext uri="{63B3BB69-23CF-44E3-9099-C40C66FF867C}">
                  <a14:compatExt spid="_x0000_s18635"/>
                </a:ext>
                <a:ext uri="{FF2B5EF4-FFF2-40B4-BE49-F238E27FC236}">
                  <a16:creationId xmlns:a16="http://schemas.microsoft.com/office/drawing/2014/main" id="{00000000-0008-0000-0000-0000C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636" name="Check Box 204" hidden="1">
              <a:extLst>
                <a:ext uri="{63B3BB69-23CF-44E3-9099-C40C66FF867C}">
                  <a14:compatExt spid="_x0000_s18636"/>
                </a:ext>
                <a:ext uri="{FF2B5EF4-FFF2-40B4-BE49-F238E27FC236}">
                  <a16:creationId xmlns:a16="http://schemas.microsoft.com/office/drawing/2014/main" id="{00000000-0008-0000-0000-0000C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637" name="Check Box 205" hidden="1">
              <a:extLst>
                <a:ext uri="{63B3BB69-23CF-44E3-9099-C40C66FF867C}">
                  <a14:compatExt spid="_x0000_s18637"/>
                </a:ext>
                <a:ext uri="{FF2B5EF4-FFF2-40B4-BE49-F238E27FC236}">
                  <a16:creationId xmlns:a16="http://schemas.microsoft.com/office/drawing/2014/main" id="{00000000-0008-0000-0000-0000C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638" name="Check Box 206" hidden="1">
              <a:extLst>
                <a:ext uri="{63B3BB69-23CF-44E3-9099-C40C66FF867C}">
                  <a14:compatExt spid="_x0000_s18638"/>
                </a:ext>
                <a:ext uri="{FF2B5EF4-FFF2-40B4-BE49-F238E27FC236}">
                  <a16:creationId xmlns:a16="http://schemas.microsoft.com/office/drawing/2014/main" id="{00000000-0008-0000-0000-0000C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639" name="Check Box 207" hidden="1">
              <a:extLst>
                <a:ext uri="{63B3BB69-23CF-44E3-9099-C40C66FF867C}">
                  <a14:compatExt spid="_x0000_s18639"/>
                </a:ext>
                <a:ext uri="{FF2B5EF4-FFF2-40B4-BE49-F238E27FC236}">
                  <a16:creationId xmlns:a16="http://schemas.microsoft.com/office/drawing/2014/main" id="{00000000-0008-0000-0000-0000C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640" name="Check Box 208" hidden="1">
              <a:extLst>
                <a:ext uri="{63B3BB69-23CF-44E3-9099-C40C66FF867C}">
                  <a14:compatExt spid="_x0000_s18640"/>
                </a:ext>
                <a:ext uri="{FF2B5EF4-FFF2-40B4-BE49-F238E27FC236}">
                  <a16:creationId xmlns:a16="http://schemas.microsoft.com/office/drawing/2014/main" id="{00000000-0008-0000-0000-0000D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646" name="Check Box 214" hidden="1">
              <a:extLst>
                <a:ext uri="{63B3BB69-23CF-44E3-9099-C40C66FF867C}">
                  <a14:compatExt spid="_x0000_s18646"/>
                </a:ext>
                <a:ext uri="{FF2B5EF4-FFF2-40B4-BE49-F238E27FC236}">
                  <a16:creationId xmlns:a16="http://schemas.microsoft.com/office/drawing/2014/main" id="{00000000-0008-0000-0000-0000D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647" name="Check Box 215" hidden="1">
              <a:extLst>
                <a:ext uri="{63B3BB69-23CF-44E3-9099-C40C66FF867C}">
                  <a14:compatExt spid="_x0000_s18647"/>
                </a:ext>
                <a:ext uri="{FF2B5EF4-FFF2-40B4-BE49-F238E27FC236}">
                  <a16:creationId xmlns:a16="http://schemas.microsoft.com/office/drawing/2014/main" id="{00000000-0008-0000-0000-0000D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648" name="Check Box 216" hidden="1">
              <a:extLst>
                <a:ext uri="{63B3BB69-23CF-44E3-9099-C40C66FF867C}">
                  <a14:compatExt spid="_x0000_s18648"/>
                </a:ext>
                <a:ext uri="{FF2B5EF4-FFF2-40B4-BE49-F238E27FC236}">
                  <a16:creationId xmlns:a16="http://schemas.microsoft.com/office/drawing/2014/main" id="{00000000-0008-0000-0000-0000D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649" name="Check Box 217" hidden="1">
              <a:extLst>
                <a:ext uri="{63B3BB69-23CF-44E3-9099-C40C66FF867C}">
                  <a14:compatExt spid="_x0000_s18649"/>
                </a:ext>
                <a:ext uri="{FF2B5EF4-FFF2-40B4-BE49-F238E27FC236}">
                  <a16:creationId xmlns:a16="http://schemas.microsoft.com/office/drawing/2014/main" id="{00000000-0008-0000-0000-0000D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650" name="Check Box 218" hidden="1">
              <a:extLst>
                <a:ext uri="{63B3BB69-23CF-44E3-9099-C40C66FF867C}">
                  <a14:compatExt spid="_x0000_s18650"/>
                </a:ext>
                <a:ext uri="{FF2B5EF4-FFF2-40B4-BE49-F238E27FC236}">
                  <a16:creationId xmlns:a16="http://schemas.microsoft.com/office/drawing/2014/main" id="{00000000-0008-0000-0000-0000D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651" name="Check Box 219" hidden="1">
              <a:extLst>
                <a:ext uri="{63B3BB69-23CF-44E3-9099-C40C66FF867C}">
                  <a14:compatExt spid="_x0000_s18651"/>
                </a:ext>
                <a:ext uri="{FF2B5EF4-FFF2-40B4-BE49-F238E27FC236}">
                  <a16:creationId xmlns:a16="http://schemas.microsoft.com/office/drawing/2014/main" id="{00000000-0008-0000-0000-0000D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652" name="Check Box 220" hidden="1">
              <a:extLst>
                <a:ext uri="{63B3BB69-23CF-44E3-9099-C40C66FF867C}">
                  <a14:compatExt spid="_x0000_s18652"/>
                </a:ext>
                <a:ext uri="{FF2B5EF4-FFF2-40B4-BE49-F238E27FC236}">
                  <a16:creationId xmlns:a16="http://schemas.microsoft.com/office/drawing/2014/main" id="{00000000-0008-0000-0000-0000D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653" name="Check Box 221" hidden="1">
              <a:extLst>
                <a:ext uri="{63B3BB69-23CF-44E3-9099-C40C66FF867C}">
                  <a14:compatExt spid="_x0000_s18653"/>
                </a:ext>
                <a:ext uri="{FF2B5EF4-FFF2-40B4-BE49-F238E27FC236}">
                  <a16:creationId xmlns:a16="http://schemas.microsoft.com/office/drawing/2014/main" id="{00000000-0008-0000-0000-0000D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654" name="Check Box 222" hidden="1">
              <a:extLst>
                <a:ext uri="{63B3BB69-23CF-44E3-9099-C40C66FF867C}">
                  <a14:compatExt spid="_x0000_s18654"/>
                </a:ext>
                <a:ext uri="{FF2B5EF4-FFF2-40B4-BE49-F238E27FC236}">
                  <a16:creationId xmlns:a16="http://schemas.microsoft.com/office/drawing/2014/main" id="{00000000-0008-0000-0000-0000D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655" name="Check Box 223" hidden="1">
              <a:extLst>
                <a:ext uri="{63B3BB69-23CF-44E3-9099-C40C66FF867C}">
                  <a14:compatExt spid="_x0000_s18655"/>
                </a:ext>
                <a:ext uri="{FF2B5EF4-FFF2-40B4-BE49-F238E27FC236}">
                  <a16:creationId xmlns:a16="http://schemas.microsoft.com/office/drawing/2014/main" id="{00000000-0008-0000-0000-0000D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656" name="Check Box 224" hidden="1">
              <a:extLst>
                <a:ext uri="{63B3BB69-23CF-44E3-9099-C40C66FF867C}">
                  <a14:compatExt spid="_x0000_s18656"/>
                </a:ext>
                <a:ext uri="{FF2B5EF4-FFF2-40B4-BE49-F238E27FC236}">
                  <a16:creationId xmlns:a16="http://schemas.microsoft.com/office/drawing/2014/main" id="{00000000-0008-0000-0000-0000E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673" name="Check Box 241" hidden="1">
              <a:extLst>
                <a:ext uri="{63B3BB69-23CF-44E3-9099-C40C66FF867C}">
                  <a14:compatExt spid="_x0000_s18673"/>
                </a:ext>
                <a:ext uri="{FF2B5EF4-FFF2-40B4-BE49-F238E27FC236}">
                  <a16:creationId xmlns:a16="http://schemas.microsoft.com/office/drawing/2014/main" id="{00000000-0008-0000-0000-0000F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674" name="Check Box 242" hidden="1">
              <a:extLst>
                <a:ext uri="{63B3BB69-23CF-44E3-9099-C40C66FF867C}">
                  <a14:compatExt spid="_x0000_s18674"/>
                </a:ext>
                <a:ext uri="{FF2B5EF4-FFF2-40B4-BE49-F238E27FC236}">
                  <a16:creationId xmlns:a16="http://schemas.microsoft.com/office/drawing/2014/main" id="{00000000-0008-0000-0000-0000F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675" name="Check Box 243" hidden="1">
              <a:extLst>
                <a:ext uri="{63B3BB69-23CF-44E3-9099-C40C66FF867C}">
                  <a14:compatExt spid="_x0000_s18675"/>
                </a:ext>
                <a:ext uri="{FF2B5EF4-FFF2-40B4-BE49-F238E27FC236}">
                  <a16:creationId xmlns:a16="http://schemas.microsoft.com/office/drawing/2014/main" id="{00000000-0008-0000-0000-0000F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676" name="Check Box 244" hidden="1">
              <a:extLst>
                <a:ext uri="{63B3BB69-23CF-44E3-9099-C40C66FF867C}">
                  <a14:compatExt spid="_x0000_s18676"/>
                </a:ext>
                <a:ext uri="{FF2B5EF4-FFF2-40B4-BE49-F238E27FC236}">
                  <a16:creationId xmlns:a16="http://schemas.microsoft.com/office/drawing/2014/main" id="{00000000-0008-0000-0000-0000F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677" name="Check Box 245" hidden="1">
              <a:extLst>
                <a:ext uri="{63B3BB69-23CF-44E3-9099-C40C66FF867C}">
                  <a14:compatExt spid="_x0000_s18677"/>
                </a:ext>
                <a:ext uri="{FF2B5EF4-FFF2-40B4-BE49-F238E27FC236}">
                  <a16:creationId xmlns:a16="http://schemas.microsoft.com/office/drawing/2014/main" id="{00000000-0008-0000-0000-0000F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678" name="Check Box 246" hidden="1">
              <a:extLst>
                <a:ext uri="{63B3BB69-23CF-44E3-9099-C40C66FF867C}">
                  <a14:compatExt spid="_x0000_s18678"/>
                </a:ext>
                <a:ext uri="{FF2B5EF4-FFF2-40B4-BE49-F238E27FC236}">
                  <a16:creationId xmlns:a16="http://schemas.microsoft.com/office/drawing/2014/main" id="{00000000-0008-0000-0000-0000F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679" name="Check Box 247" hidden="1">
              <a:extLst>
                <a:ext uri="{63B3BB69-23CF-44E3-9099-C40C66FF867C}">
                  <a14:compatExt spid="_x0000_s18679"/>
                </a:ext>
                <a:ext uri="{FF2B5EF4-FFF2-40B4-BE49-F238E27FC236}">
                  <a16:creationId xmlns:a16="http://schemas.microsoft.com/office/drawing/2014/main" id="{00000000-0008-0000-0000-0000F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680" name="Check Box 248" hidden="1">
              <a:extLst>
                <a:ext uri="{63B3BB69-23CF-44E3-9099-C40C66FF867C}">
                  <a14:compatExt spid="_x0000_s18680"/>
                </a:ext>
                <a:ext uri="{FF2B5EF4-FFF2-40B4-BE49-F238E27FC236}">
                  <a16:creationId xmlns:a16="http://schemas.microsoft.com/office/drawing/2014/main" id="{00000000-0008-0000-0000-0000F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681" name="Check Box 249" hidden="1">
              <a:extLst>
                <a:ext uri="{63B3BB69-23CF-44E3-9099-C40C66FF867C}">
                  <a14:compatExt spid="_x0000_s18681"/>
                </a:ext>
                <a:ext uri="{FF2B5EF4-FFF2-40B4-BE49-F238E27FC236}">
                  <a16:creationId xmlns:a16="http://schemas.microsoft.com/office/drawing/2014/main" id="{00000000-0008-0000-0000-0000F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682" name="Check Box 250" hidden="1">
              <a:extLst>
                <a:ext uri="{63B3BB69-23CF-44E3-9099-C40C66FF867C}">
                  <a14:compatExt spid="_x0000_s18682"/>
                </a:ext>
                <a:ext uri="{FF2B5EF4-FFF2-40B4-BE49-F238E27FC236}">
                  <a16:creationId xmlns:a16="http://schemas.microsoft.com/office/drawing/2014/main" id="{00000000-0008-0000-0000-0000F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683" name="Check Box 251" hidden="1">
              <a:extLst>
                <a:ext uri="{63B3BB69-23CF-44E3-9099-C40C66FF867C}">
                  <a14:compatExt spid="_x0000_s18683"/>
                </a:ext>
                <a:ext uri="{FF2B5EF4-FFF2-40B4-BE49-F238E27FC236}">
                  <a16:creationId xmlns:a16="http://schemas.microsoft.com/office/drawing/2014/main" id="{00000000-0008-0000-0000-0000F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766" name="Check Box 334" hidden="1">
              <a:extLst>
                <a:ext uri="{63B3BB69-23CF-44E3-9099-C40C66FF867C}">
                  <a14:compatExt spid="_x0000_s18766"/>
                </a:ext>
                <a:ext uri="{FF2B5EF4-FFF2-40B4-BE49-F238E27FC236}">
                  <a16:creationId xmlns:a16="http://schemas.microsoft.com/office/drawing/2014/main" id="{00000000-0008-0000-0000-00004E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767" name="Check Box 335" hidden="1">
              <a:extLst>
                <a:ext uri="{63B3BB69-23CF-44E3-9099-C40C66FF867C}">
                  <a14:compatExt spid="_x0000_s18767"/>
                </a:ext>
                <a:ext uri="{FF2B5EF4-FFF2-40B4-BE49-F238E27FC236}">
                  <a16:creationId xmlns:a16="http://schemas.microsoft.com/office/drawing/2014/main" id="{00000000-0008-0000-0000-00004F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768" name="Check Box 336" hidden="1">
              <a:extLst>
                <a:ext uri="{63B3BB69-23CF-44E3-9099-C40C66FF867C}">
                  <a14:compatExt spid="_x0000_s18768"/>
                </a:ext>
                <a:ext uri="{FF2B5EF4-FFF2-40B4-BE49-F238E27FC236}">
                  <a16:creationId xmlns:a16="http://schemas.microsoft.com/office/drawing/2014/main" id="{00000000-0008-0000-0000-000050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769" name="Check Box 337" hidden="1">
              <a:extLst>
                <a:ext uri="{63B3BB69-23CF-44E3-9099-C40C66FF867C}">
                  <a14:compatExt spid="_x0000_s18769"/>
                </a:ext>
                <a:ext uri="{FF2B5EF4-FFF2-40B4-BE49-F238E27FC236}">
                  <a16:creationId xmlns:a16="http://schemas.microsoft.com/office/drawing/2014/main" id="{00000000-0008-0000-0000-000051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770" name="Check Box 338" hidden="1">
              <a:extLst>
                <a:ext uri="{63B3BB69-23CF-44E3-9099-C40C66FF867C}">
                  <a14:compatExt spid="_x0000_s18770"/>
                </a:ext>
                <a:ext uri="{FF2B5EF4-FFF2-40B4-BE49-F238E27FC236}">
                  <a16:creationId xmlns:a16="http://schemas.microsoft.com/office/drawing/2014/main" id="{00000000-0008-0000-0000-000052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771" name="Check Box 339" hidden="1">
              <a:extLst>
                <a:ext uri="{63B3BB69-23CF-44E3-9099-C40C66FF867C}">
                  <a14:compatExt spid="_x0000_s18771"/>
                </a:ext>
                <a:ext uri="{FF2B5EF4-FFF2-40B4-BE49-F238E27FC236}">
                  <a16:creationId xmlns:a16="http://schemas.microsoft.com/office/drawing/2014/main" id="{00000000-0008-0000-0000-000053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772" name="Check Box 340" hidden="1">
              <a:extLst>
                <a:ext uri="{63B3BB69-23CF-44E3-9099-C40C66FF867C}">
                  <a14:compatExt spid="_x0000_s18772"/>
                </a:ext>
                <a:ext uri="{FF2B5EF4-FFF2-40B4-BE49-F238E27FC236}">
                  <a16:creationId xmlns:a16="http://schemas.microsoft.com/office/drawing/2014/main" id="{00000000-0008-0000-0000-000054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773" name="Check Box 341" hidden="1">
              <a:extLst>
                <a:ext uri="{63B3BB69-23CF-44E3-9099-C40C66FF867C}">
                  <a14:compatExt spid="_x0000_s18773"/>
                </a:ext>
                <a:ext uri="{FF2B5EF4-FFF2-40B4-BE49-F238E27FC236}">
                  <a16:creationId xmlns:a16="http://schemas.microsoft.com/office/drawing/2014/main" id="{00000000-0008-0000-0000-000055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774" name="Check Box 342" hidden="1">
              <a:extLst>
                <a:ext uri="{63B3BB69-23CF-44E3-9099-C40C66FF867C}">
                  <a14:compatExt spid="_x0000_s18774"/>
                </a:ext>
                <a:ext uri="{FF2B5EF4-FFF2-40B4-BE49-F238E27FC236}">
                  <a16:creationId xmlns:a16="http://schemas.microsoft.com/office/drawing/2014/main" id="{00000000-0008-0000-0000-000056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775" name="Check Box 343" hidden="1">
              <a:extLst>
                <a:ext uri="{63B3BB69-23CF-44E3-9099-C40C66FF867C}">
                  <a14:compatExt spid="_x0000_s18775"/>
                </a:ext>
                <a:ext uri="{FF2B5EF4-FFF2-40B4-BE49-F238E27FC236}">
                  <a16:creationId xmlns:a16="http://schemas.microsoft.com/office/drawing/2014/main" id="{00000000-0008-0000-0000-000057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776" name="Check Box 344" hidden="1">
              <a:extLst>
                <a:ext uri="{63B3BB69-23CF-44E3-9099-C40C66FF867C}">
                  <a14:compatExt spid="_x0000_s18776"/>
                </a:ext>
                <a:ext uri="{FF2B5EF4-FFF2-40B4-BE49-F238E27FC236}">
                  <a16:creationId xmlns:a16="http://schemas.microsoft.com/office/drawing/2014/main" id="{00000000-0008-0000-0000-000058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777" name="Check Box 345" hidden="1">
              <a:extLst>
                <a:ext uri="{63B3BB69-23CF-44E3-9099-C40C66FF867C}">
                  <a14:compatExt spid="_x0000_s18777"/>
                </a:ext>
                <a:ext uri="{FF2B5EF4-FFF2-40B4-BE49-F238E27FC236}">
                  <a16:creationId xmlns:a16="http://schemas.microsoft.com/office/drawing/2014/main" id="{00000000-0008-0000-0000-000059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778" name="Check Box 346" hidden="1">
              <a:extLst>
                <a:ext uri="{63B3BB69-23CF-44E3-9099-C40C66FF867C}">
                  <a14:compatExt spid="_x0000_s18778"/>
                </a:ext>
                <a:ext uri="{FF2B5EF4-FFF2-40B4-BE49-F238E27FC236}">
                  <a16:creationId xmlns:a16="http://schemas.microsoft.com/office/drawing/2014/main" id="{00000000-0008-0000-0000-00005A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779" name="Check Box 347" hidden="1">
              <a:extLst>
                <a:ext uri="{63B3BB69-23CF-44E3-9099-C40C66FF867C}">
                  <a14:compatExt spid="_x0000_s18779"/>
                </a:ext>
                <a:ext uri="{FF2B5EF4-FFF2-40B4-BE49-F238E27FC236}">
                  <a16:creationId xmlns:a16="http://schemas.microsoft.com/office/drawing/2014/main" id="{00000000-0008-0000-0000-00005B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780" name="Check Box 348" hidden="1">
              <a:extLst>
                <a:ext uri="{63B3BB69-23CF-44E3-9099-C40C66FF867C}">
                  <a14:compatExt spid="_x0000_s18780"/>
                </a:ext>
                <a:ext uri="{FF2B5EF4-FFF2-40B4-BE49-F238E27FC236}">
                  <a16:creationId xmlns:a16="http://schemas.microsoft.com/office/drawing/2014/main" id="{00000000-0008-0000-0000-00005C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781" name="Check Box 349" hidden="1">
              <a:extLst>
                <a:ext uri="{63B3BB69-23CF-44E3-9099-C40C66FF867C}">
                  <a14:compatExt spid="_x0000_s18781"/>
                </a:ext>
                <a:ext uri="{FF2B5EF4-FFF2-40B4-BE49-F238E27FC236}">
                  <a16:creationId xmlns:a16="http://schemas.microsoft.com/office/drawing/2014/main" id="{00000000-0008-0000-0000-00005D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782" name="Check Box 350" hidden="1">
              <a:extLst>
                <a:ext uri="{63B3BB69-23CF-44E3-9099-C40C66FF867C}">
                  <a14:compatExt spid="_x0000_s18782"/>
                </a:ext>
                <a:ext uri="{FF2B5EF4-FFF2-40B4-BE49-F238E27FC236}">
                  <a16:creationId xmlns:a16="http://schemas.microsoft.com/office/drawing/2014/main" id="{00000000-0008-0000-0000-00005E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783" name="Check Box 351" hidden="1">
              <a:extLst>
                <a:ext uri="{63B3BB69-23CF-44E3-9099-C40C66FF867C}">
                  <a14:compatExt spid="_x0000_s18783"/>
                </a:ext>
                <a:ext uri="{FF2B5EF4-FFF2-40B4-BE49-F238E27FC236}">
                  <a16:creationId xmlns:a16="http://schemas.microsoft.com/office/drawing/2014/main" id="{00000000-0008-0000-0000-00005F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784" name="Check Box 352" hidden="1">
              <a:extLst>
                <a:ext uri="{63B3BB69-23CF-44E3-9099-C40C66FF867C}">
                  <a14:compatExt spid="_x0000_s18784"/>
                </a:ext>
                <a:ext uri="{FF2B5EF4-FFF2-40B4-BE49-F238E27FC236}">
                  <a16:creationId xmlns:a16="http://schemas.microsoft.com/office/drawing/2014/main" id="{00000000-0008-0000-0000-000060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785" name="Check Box 353" hidden="1">
              <a:extLst>
                <a:ext uri="{63B3BB69-23CF-44E3-9099-C40C66FF867C}">
                  <a14:compatExt spid="_x0000_s18785"/>
                </a:ext>
                <a:ext uri="{FF2B5EF4-FFF2-40B4-BE49-F238E27FC236}">
                  <a16:creationId xmlns:a16="http://schemas.microsoft.com/office/drawing/2014/main" id="{00000000-0008-0000-0000-000061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786" name="Check Box 354" hidden="1">
              <a:extLst>
                <a:ext uri="{63B3BB69-23CF-44E3-9099-C40C66FF867C}">
                  <a14:compatExt spid="_x0000_s18786"/>
                </a:ext>
                <a:ext uri="{FF2B5EF4-FFF2-40B4-BE49-F238E27FC236}">
                  <a16:creationId xmlns:a16="http://schemas.microsoft.com/office/drawing/2014/main" id="{00000000-0008-0000-0000-000062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787" name="Check Box 355" hidden="1">
              <a:extLst>
                <a:ext uri="{63B3BB69-23CF-44E3-9099-C40C66FF867C}">
                  <a14:compatExt spid="_x0000_s18787"/>
                </a:ext>
                <a:ext uri="{FF2B5EF4-FFF2-40B4-BE49-F238E27FC236}">
                  <a16:creationId xmlns:a16="http://schemas.microsoft.com/office/drawing/2014/main" id="{00000000-0008-0000-0000-000063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788" name="Check Box 356" hidden="1">
              <a:extLst>
                <a:ext uri="{63B3BB69-23CF-44E3-9099-C40C66FF867C}">
                  <a14:compatExt spid="_x0000_s18788"/>
                </a:ext>
                <a:ext uri="{FF2B5EF4-FFF2-40B4-BE49-F238E27FC236}">
                  <a16:creationId xmlns:a16="http://schemas.microsoft.com/office/drawing/2014/main" id="{00000000-0008-0000-0000-000064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789" name="Check Box 357" hidden="1">
              <a:extLst>
                <a:ext uri="{63B3BB69-23CF-44E3-9099-C40C66FF867C}">
                  <a14:compatExt spid="_x0000_s18789"/>
                </a:ext>
                <a:ext uri="{FF2B5EF4-FFF2-40B4-BE49-F238E27FC236}">
                  <a16:creationId xmlns:a16="http://schemas.microsoft.com/office/drawing/2014/main" id="{00000000-0008-0000-0000-000065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790" name="Check Box 358" hidden="1">
              <a:extLst>
                <a:ext uri="{63B3BB69-23CF-44E3-9099-C40C66FF867C}">
                  <a14:compatExt spid="_x0000_s18790"/>
                </a:ext>
                <a:ext uri="{FF2B5EF4-FFF2-40B4-BE49-F238E27FC236}">
                  <a16:creationId xmlns:a16="http://schemas.microsoft.com/office/drawing/2014/main" id="{00000000-0008-0000-0000-000066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791" name="Check Box 359" hidden="1">
              <a:extLst>
                <a:ext uri="{63B3BB69-23CF-44E3-9099-C40C66FF867C}">
                  <a14:compatExt spid="_x0000_s18791"/>
                </a:ext>
                <a:ext uri="{FF2B5EF4-FFF2-40B4-BE49-F238E27FC236}">
                  <a16:creationId xmlns:a16="http://schemas.microsoft.com/office/drawing/2014/main" id="{00000000-0008-0000-0000-000067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792" name="Check Box 360" hidden="1">
              <a:extLst>
                <a:ext uri="{63B3BB69-23CF-44E3-9099-C40C66FF867C}">
                  <a14:compatExt spid="_x0000_s18792"/>
                </a:ext>
                <a:ext uri="{FF2B5EF4-FFF2-40B4-BE49-F238E27FC236}">
                  <a16:creationId xmlns:a16="http://schemas.microsoft.com/office/drawing/2014/main" id="{00000000-0008-0000-0000-000068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793" name="Check Box 361" hidden="1">
              <a:extLst>
                <a:ext uri="{63B3BB69-23CF-44E3-9099-C40C66FF867C}">
                  <a14:compatExt spid="_x0000_s18793"/>
                </a:ext>
                <a:ext uri="{FF2B5EF4-FFF2-40B4-BE49-F238E27FC236}">
                  <a16:creationId xmlns:a16="http://schemas.microsoft.com/office/drawing/2014/main" id="{00000000-0008-0000-0000-000069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794" name="Check Box 362" hidden="1">
              <a:extLst>
                <a:ext uri="{63B3BB69-23CF-44E3-9099-C40C66FF867C}">
                  <a14:compatExt spid="_x0000_s18794"/>
                </a:ext>
                <a:ext uri="{FF2B5EF4-FFF2-40B4-BE49-F238E27FC236}">
                  <a16:creationId xmlns:a16="http://schemas.microsoft.com/office/drawing/2014/main" id="{00000000-0008-0000-0000-00006A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795" name="Check Box 363" hidden="1">
              <a:extLst>
                <a:ext uri="{63B3BB69-23CF-44E3-9099-C40C66FF867C}">
                  <a14:compatExt spid="_x0000_s18795"/>
                </a:ext>
                <a:ext uri="{FF2B5EF4-FFF2-40B4-BE49-F238E27FC236}">
                  <a16:creationId xmlns:a16="http://schemas.microsoft.com/office/drawing/2014/main" id="{00000000-0008-0000-0000-00006B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796" name="Check Box 364" hidden="1">
              <a:extLst>
                <a:ext uri="{63B3BB69-23CF-44E3-9099-C40C66FF867C}">
                  <a14:compatExt spid="_x0000_s18796"/>
                </a:ext>
                <a:ext uri="{FF2B5EF4-FFF2-40B4-BE49-F238E27FC236}">
                  <a16:creationId xmlns:a16="http://schemas.microsoft.com/office/drawing/2014/main" id="{00000000-0008-0000-0000-00006C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797" name="Check Box 365" hidden="1">
              <a:extLst>
                <a:ext uri="{63B3BB69-23CF-44E3-9099-C40C66FF867C}">
                  <a14:compatExt spid="_x0000_s18797"/>
                </a:ext>
                <a:ext uri="{FF2B5EF4-FFF2-40B4-BE49-F238E27FC236}">
                  <a16:creationId xmlns:a16="http://schemas.microsoft.com/office/drawing/2014/main" id="{00000000-0008-0000-0000-00006D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798" name="Check Box 366" hidden="1">
              <a:extLst>
                <a:ext uri="{63B3BB69-23CF-44E3-9099-C40C66FF867C}">
                  <a14:compatExt spid="_x0000_s18798"/>
                </a:ext>
                <a:ext uri="{FF2B5EF4-FFF2-40B4-BE49-F238E27FC236}">
                  <a16:creationId xmlns:a16="http://schemas.microsoft.com/office/drawing/2014/main" id="{00000000-0008-0000-0000-00006E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799" name="Check Box 367" hidden="1">
              <a:extLst>
                <a:ext uri="{63B3BB69-23CF-44E3-9099-C40C66FF867C}">
                  <a14:compatExt spid="_x0000_s18799"/>
                </a:ext>
                <a:ext uri="{FF2B5EF4-FFF2-40B4-BE49-F238E27FC236}">
                  <a16:creationId xmlns:a16="http://schemas.microsoft.com/office/drawing/2014/main" id="{00000000-0008-0000-0000-00006F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800" name="Check Box 368" hidden="1">
              <a:extLst>
                <a:ext uri="{63B3BB69-23CF-44E3-9099-C40C66FF867C}">
                  <a14:compatExt spid="_x0000_s18800"/>
                </a:ext>
                <a:ext uri="{FF2B5EF4-FFF2-40B4-BE49-F238E27FC236}">
                  <a16:creationId xmlns:a16="http://schemas.microsoft.com/office/drawing/2014/main" id="{00000000-0008-0000-0000-000070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801" name="Check Box 369" hidden="1">
              <a:extLst>
                <a:ext uri="{63B3BB69-23CF-44E3-9099-C40C66FF867C}">
                  <a14:compatExt spid="_x0000_s18801"/>
                </a:ext>
                <a:ext uri="{FF2B5EF4-FFF2-40B4-BE49-F238E27FC236}">
                  <a16:creationId xmlns:a16="http://schemas.microsoft.com/office/drawing/2014/main" id="{00000000-0008-0000-0000-000071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802" name="Check Box 370" hidden="1">
              <a:extLst>
                <a:ext uri="{63B3BB69-23CF-44E3-9099-C40C66FF867C}">
                  <a14:compatExt spid="_x0000_s18802"/>
                </a:ext>
                <a:ext uri="{FF2B5EF4-FFF2-40B4-BE49-F238E27FC236}">
                  <a16:creationId xmlns:a16="http://schemas.microsoft.com/office/drawing/2014/main" id="{00000000-0008-0000-0000-000072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803" name="Check Box 371" hidden="1">
              <a:extLst>
                <a:ext uri="{63B3BB69-23CF-44E3-9099-C40C66FF867C}">
                  <a14:compatExt spid="_x0000_s18803"/>
                </a:ext>
                <a:ext uri="{FF2B5EF4-FFF2-40B4-BE49-F238E27FC236}">
                  <a16:creationId xmlns:a16="http://schemas.microsoft.com/office/drawing/2014/main" id="{00000000-0008-0000-0000-000073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804" name="Check Box 372" hidden="1">
              <a:extLst>
                <a:ext uri="{63B3BB69-23CF-44E3-9099-C40C66FF867C}">
                  <a14:compatExt spid="_x0000_s18804"/>
                </a:ext>
                <a:ext uri="{FF2B5EF4-FFF2-40B4-BE49-F238E27FC236}">
                  <a16:creationId xmlns:a16="http://schemas.microsoft.com/office/drawing/2014/main" id="{00000000-0008-0000-0000-000074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805" name="Check Box 373" hidden="1">
              <a:extLst>
                <a:ext uri="{63B3BB69-23CF-44E3-9099-C40C66FF867C}">
                  <a14:compatExt spid="_x0000_s18805"/>
                </a:ext>
                <a:ext uri="{FF2B5EF4-FFF2-40B4-BE49-F238E27FC236}">
                  <a16:creationId xmlns:a16="http://schemas.microsoft.com/office/drawing/2014/main" id="{00000000-0008-0000-0000-000075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806" name="Check Box 374" hidden="1">
              <a:extLst>
                <a:ext uri="{63B3BB69-23CF-44E3-9099-C40C66FF867C}">
                  <a14:compatExt spid="_x0000_s18806"/>
                </a:ext>
                <a:ext uri="{FF2B5EF4-FFF2-40B4-BE49-F238E27FC236}">
                  <a16:creationId xmlns:a16="http://schemas.microsoft.com/office/drawing/2014/main" id="{00000000-0008-0000-0000-000076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807" name="Check Box 375" hidden="1">
              <a:extLst>
                <a:ext uri="{63B3BB69-23CF-44E3-9099-C40C66FF867C}">
                  <a14:compatExt spid="_x0000_s18807"/>
                </a:ext>
                <a:ext uri="{FF2B5EF4-FFF2-40B4-BE49-F238E27FC236}">
                  <a16:creationId xmlns:a16="http://schemas.microsoft.com/office/drawing/2014/main" id="{00000000-0008-0000-0000-000077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808" name="Check Box 376" hidden="1">
              <a:extLst>
                <a:ext uri="{63B3BB69-23CF-44E3-9099-C40C66FF867C}">
                  <a14:compatExt spid="_x0000_s18808"/>
                </a:ext>
                <a:ext uri="{FF2B5EF4-FFF2-40B4-BE49-F238E27FC236}">
                  <a16:creationId xmlns:a16="http://schemas.microsoft.com/office/drawing/2014/main" id="{00000000-0008-0000-0000-000078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809" name="Check Box 377" hidden="1">
              <a:extLst>
                <a:ext uri="{63B3BB69-23CF-44E3-9099-C40C66FF867C}">
                  <a14:compatExt spid="_x0000_s18809"/>
                </a:ext>
                <a:ext uri="{FF2B5EF4-FFF2-40B4-BE49-F238E27FC236}">
                  <a16:creationId xmlns:a16="http://schemas.microsoft.com/office/drawing/2014/main" id="{00000000-0008-0000-0000-000079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810" name="Check Box 378" hidden="1">
              <a:extLst>
                <a:ext uri="{63B3BB69-23CF-44E3-9099-C40C66FF867C}">
                  <a14:compatExt spid="_x0000_s18810"/>
                </a:ext>
                <a:ext uri="{FF2B5EF4-FFF2-40B4-BE49-F238E27FC236}">
                  <a16:creationId xmlns:a16="http://schemas.microsoft.com/office/drawing/2014/main" id="{00000000-0008-0000-0000-00007A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811" name="Check Box 379" hidden="1">
              <a:extLst>
                <a:ext uri="{63B3BB69-23CF-44E3-9099-C40C66FF867C}">
                  <a14:compatExt spid="_x0000_s18811"/>
                </a:ext>
                <a:ext uri="{FF2B5EF4-FFF2-40B4-BE49-F238E27FC236}">
                  <a16:creationId xmlns:a16="http://schemas.microsoft.com/office/drawing/2014/main" id="{00000000-0008-0000-0000-00007B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812" name="Check Box 380" hidden="1">
              <a:extLst>
                <a:ext uri="{63B3BB69-23CF-44E3-9099-C40C66FF867C}">
                  <a14:compatExt spid="_x0000_s18812"/>
                </a:ext>
                <a:ext uri="{FF2B5EF4-FFF2-40B4-BE49-F238E27FC236}">
                  <a16:creationId xmlns:a16="http://schemas.microsoft.com/office/drawing/2014/main" id="{00000000-0008-0000-0000-00007C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813" name="Check Box 381" hidden="1">
              <a:extLst>
                <a:ext uri="{63B3BB69-23CF-44E3-9099-C40C66FF867C}">
                  <a14:compatExt spid="_x0000_s18813"/>
                </a:ext>
                <a:ext uri="{FF2B5EF4-FFF2-40B4-BE49-F238E27FC236}">
                  <a16:creationId xmlns:a16="http://schemas.microsoft.com/office/drawing/2014/main" id="{00000000-0008-0000-0000-00007D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814" name="Check Box 382" hidden="1">
              <a:extLst>
                <a:ext uri="{63B3BB69-23CF-44E3-9099-C40C66FF867C}">
                  <a14:compatExt spid="_x0000_s18814"/>
                </a:ext>
                <a:ext uri="{FF2B5EF4-FFF2-40B4-BE49-F238E27FC236}">
                  <a16:creationId xmlns:a16="http://schemas.microsoft.com/office/drawing/2014/main" id="{00000000-0008-0000-0000-00007E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815" name="Check Box 383" hidden="1">
              <a:extLst>
                <a:ext uri="{63B3BB69-23CF-44E3-9099-C40C66FF867C}">
                  <a14:compatExt spid="_x0000_s18815"/>
                </a:ext>
                <a:ext uri="{FF2B5EF4-FFF2-40B4-BE49-F238E27FC236}">
                  <a16:creationId xmlns:a16="http://schemas.microsoft.com/office/drawing/2014/main" id="{00000000-0008-0000-0000-00007F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816" name="Check Box 384" hidden="1">
              <a:extLst>
                <a:ext uri="{63B3BB69-23CF-44E3-9099-C40C66FF867C}">
                  <a14:compatExt spid="_x0000_s18816"/>
                </a:ext>
                <a:ext uri="{FF2B5EF4-FFF2-40B4-BE49-F238E27FC236}">
                  <a16:creationId xmlns:a16="http://schemas.microsoft.com/office/drawing/2014/main" id="{00000000-0008-0000-0000-000080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817" name="Check Box 385" hidden="1">
              <a:extLst>
                <a:ext uri="{63B3BB69-23CF-44E3-9099-C40C66FF867C}">
                  <a14:compatExt spid="_x0000_s18817"/>
                </a:ext>
                <a:ext uri="{FF2B5EF4-FFF2-40B4-BE49-F238E27FC236}">
                  <a16:creationId xmlns:a16="http://schemas.microsoft.com/office/drawing/2014/main" id="{00000000-0008-0000-0000-000081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818" name="Check Box 386" hidden="1">
              <a:extLst>
                <a:ext uri="{63B3BB69-23CF-44E3-9099-C40C66FF867C}">
                  <a14:compatExt spid="_x0000_s18818"/>
                </a:ext>
                <a:ext uri="{FF2B5EF4-FFF2-40B4-BE49-F238E27FC236}">
                  <a16:creationId xmlns:a16="http://schemas.microsoft.com/office/drawing/2014/main" id="{00000000-0008-0000-0000-000082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819" name="Check Box 387" hidden="1">
              <a:extLst>
                <a:ext uri="{63B3BB69-23CF-44E3-9099-C40C66FF867C}">
                  <a14:compatExt spid="_x0000_s18819"/>
                </a:ext>
                <a:ext uri="{FF2B5EF4-FFF2-40B4-BE49-F238E27FC236}">
                  <a16:creationId xmlns:a16="http://schemas.microsoft.com/office/drawing/2014/main" id="{00000000-0008-0000-0000-000083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820" name="Check Box 388" hidden="1">
              <a:extLst>
                <a:ext uri="{63B3BB69-23CF-44E3-9099-C40C66FF867C}">
                  <a14:compatExt spid="_x0000_s18820"/>
                </a:ext>
                <a:ext uri="{FF2B5EF4-FFF2-40B4-BE49-F238E27FC236}">
                  <a16:creationId xmlns:a16="http://schemas.microsoft.com/office/drawing/2014/main" id="{00000000-0008-0000-0000-000084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821" name="Check Box 389" hidden="1">
              <a:extLst>
                <a:ext uri="{63B3BB69-23CF-44E3-9099-C40C66FF867C}">
                  <a14:compatExt spid="_x0000_s18821"/>
                </a:ext>
                <a:ext uri="{FF2B5EF4-FFF2-40B4-BE49-F238E27FC236}">
                  <a16:creationId xmlns:a16="http://schemas.microsoft.com/office/drawing/2014/main" id="{00000000-0008-0000-0000-000085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822" name="Check Box 390" hidden="1">
              <a:extLst>
                <a:ext uri="{63B3BB69-23CF-44E3-9099-C40C66FF867C}">
                  <a14:compatExt spid="_x0000_s18822"/>
                </a:ext>
                <a:ext uri="{FF2B5EF4-FFF2-40B4-BE49-F238E27FC236}">
                  <a16:creationId xmlns:a16="http://schemas.microsoft.com/office/drawing/2014/main" id="{00000000-0008-0000-0000-000086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823" name="Check Box 391" hidden="1">
              <a:extLst>
                <a:ext uri="{63B3BB69-23CF-44E3-9099-C40C66FF867C}">
                  <a14:compatExt spid="_x0000_s18823"/>
                </a:ext>
                <a:ext uri="{FF2B5EF4-FFF2-40B4-BE49-F238E27FC236}">
                  <a16:creationId xmlns:a16="http://schemas.microsoft.com/office/drawing/2014/main" id="{00000000-0008-0000-0000-000087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824" name="Check Box 392" hidden="1">
              <a:extLst>
                <a:ext uri="{63B3BB69-23CF-44E3-9099-C40C66FF867C}">
                  <a14:compatExt spid="_x0000_s18824"/>
                </a:ext>
                <a:ext uri="{FF2B5EF4-FFF2-40B4-BE49-F238E27FC236}">
                  <a16:creationId xmlns:a16="http://schemas.microsoft.com/office/drawing/2014/main" id="{00000000-0008-0000-0000-000088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825" name="Check Box 393" hidden="1">
              <a:extLst>
                <a:ext uri="{63B3BB69-23CF-44E3-9099-C40C66FF867C}">
                  <a14:compatExt spid="_x0000_s18825"/>
                </a:ext>
                <a:ext uri="{FF2B5EF4-FFF2-40B4-BE49-F238E27FC236}">
                  <a16:creationId xmlns:a16="http://schemas.microsoft.com/office/drawing/2014/main" id="{00000000-0008-0000-0000-000089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826" name="Check Box 394" hidden="1">
              <a:extLst>
                <a:ext uri="{63B3BB69-23CF-44E3-9099-C40C66FF867C}">
                  <a14:compatExt spid="_x0000_s18826"/>
                </a:ext>
                <a:ext uri="{FF2B5EF4-FFF2-40B4-BE49-F238E27FC236}">
                  <a16:creationId xmlns:a16="http://schemas.microsoft.com/office/drawing/2014/main" id="{00000000-0008-0000-0000-00008A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827" name="Check Box 395" hidden="1">
              <a:extLst>
                <a:ext uri="{63B3BB69-23CF-44E3-9099-C40C66FF867C}">
                  <a14:compatExt spid="_x0000_s18827"/>
                </a:ext>
                <a:ext uri="{FF2B5EF4-FFF2-40B4-BE49-F238E27FC236}">
                  <a16:creationId xmlns:a16="http://schemas.microsoft.com/office/drawing/2014/main" id="{00000000-0008-0000-0000-00008B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828" name="Check Box 396" hidden="1">
              <a:extLst>
                <a:ext uri="{63B3BB69-23CF-44E3-9099-C40C66FF867C}">
                  <a14:compatExt spid="_x0000_s18828"/>
                </a:ext>
                <a:ext uri="{FF2B5EF4-FFF2-40B4-BE49-F238E27FC236}">
                  <a16:creationId xmlns:a16="http://schemas.microsoft.com/office/drawing/2014/main" id="{00000000-0008-0000-0000-00008C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829" name="Check Box 397" hidden="1">
              <a:extLst>
                <a:ext uri="{63B3BB69-23CF-44E3-9099-C40C66FF867C}">
                  <a14:compatExt spid="_x0000_s18829"/>
                </a:ext>
                <a:ext uri="{FF2B5EF4-FFF2-40B4-BE49-F238E27FC236}">
                  <a16:creationId xmlns:a16="http://schemas.microsoft.com/office/drawing/2014/main" id="{00000000-0008-0000-0000-00008D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830" name="Check Box 398" hidden="1">
              <a:extLst>
                <a:ext uri="{63B3BB69-23CF-44E3-9099-C40C66FF867C}">
                  <a14:compatExt spid="_x0000_s18830"/>
                </a:ext>
                <a:ext uri="{FF2B5EF4-FFF2-40B4-BE49-F238E27FC236}">
                  <a16:creationId xmlns:a16="http://schemas.microsoft.com/office/drawing/2014/main" id="{00000000-0008-0000-0000-00008E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831" name="Check Box 399" hidden="1">
              <a:extLst>
                <a:ext uri="{63B3BB69-23CF-44E3-9099-C40C66FF867C}">
                  <a14:compatExt spid="_x0000_s18831"/>
                </a:ext>
                <a:ext uri="{FF2B5EF4-FFF2-40B4-BE49-F238E27FC236}">
                  <a16:creationId xmlns:a16="http://schemas.microsoft.com/office/drawing/2014/main" id="{00000000-0008-0000-0000-00008F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832" name="Check Box 400" hidden="1">
              <a:extLst>
                <a:ext uri="{63B3BB69-23CF-44E3-9099-C40C66FF867C}">
                  <a14:compatExt spid="_x0000_s18832"/>
                </a:ext>
                <a:ext uri="{FF2B5EF4-FFF2-40B4-BE49-F238E27FC236}">
                  <a16:creationId xmlns:a16="http://schemas.microsoft.com/office/drawing/2014/main" id="{00000000-0008-0000-0000-000090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833" name="Check Box 401" hidden="1">
              <a:extLst>
                <a:ext uri="{63B3BB69-23CF-44E3-9099-C40C66FF867C}">
                  <a14:compatExt spid="_x0000_s18833"/>
                </a:ext>
                <a:ext uri="{FF2B5EF4-FFF2-40B4-BE49-F238E27FC236}">
                  <a16:creationId xmlns:a16="http://schemas.microsoft.com/office/drawing/2014/main" id="{00000000-0008-0000-0000-000091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834" name="Check Box 402" hidden="1">
              <a:extLst>
                <a:ext uri="{63B3BB69-23CF-44E3-9099-C40C66FF867C}">
                  <a14:compatExt spid="_x0000_s18834"/>
                </a:ext>
                <a:ext uri="{FF2B5EF4-FFF2-40B4-BE49-F238E27FC236}">
                  <a16:creationId xmlns:a16="http://schemas.microsoft.com/office/drawing/2014/main" id="{00000000-0008-0000-0000-000092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835" name="Check Box 403" hidden="1">
              <a:extLst>
                <a:ext uri="{63B3BB69-23CF-44E3-9099-C40C66FF867C}">
                  <a14:compatExt spid="_x0000_s18835"/>
                </a:ext>
                <a:ext uri="{FF2B5EF4-FFF2-40B4-BE49-F238E27FC236}">
                  <a16:creationId xmlns:a16="http://schemas.microsoft.com/office/drawing/2014/main" id="{00000000-0008-0000-0000-000093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836" name="Check Box 404" hidden="1">
              <a:extLst>
                <a:ext uri="{63B3BB69-23CF-44E3-9099-C40C66FF867C}">
                  <a14:compatExt spid="_x0000_s18836"/>
                </a:ext>
                <a:ext uri="{FF2B5EF4-FFF2-40B4-BE49-F238E27FC236}">
                  <a16:creationId xmlns:a16="http://schemas.microsoft.com/office/drawing/2014/main" id="{00000000-0008-0000-0000-000094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837" name="Check Box 405" hidden="1">
              <a:extLst>
                <a:ext uri="{63B3BB69-23CF-44E3-9099-C40C66FF867C}">
                  <a14:compatExt spid="_x0000_s18837"/>
                </a:ext>
                <a:ext uri="{FF2B5EF4-FFF2-40B4-BE49-F238E27FC236}">
                  <a16:creationId xmlns:a16="http://schemas.microsoft.com/office/drawing/2014/main" id="{00000000-0008-0000-0000-000095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838" name="Check Box 406" hidden="1">
              <a:extLst>
                <a:ext uri="{63B3BB69-23CF-44E3-9099-C40C66FF867C}">
                  <a14:compatExt spid="_x0000_s18838"/>
                </a:ext>
                <a:ext uri="{FF2B5EF4-FFF2-40B4-BE49-F238E27FC236}">
                  <a16:creationId xmlns:a16="http://schemas.microsoft.com/office/drawing/2014/main" id="{00000000-0008-0000-0000-000096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839" name="Check Box 407" hidden="1">
              <a:extLst>
                <a:ext uri="{63B3BB69-23CF-44E3-9099-C40C66FF867C}">
                  <a14:compatExt spid="_x0000_s18839"/>
                </a:ext>
                <a:ext uri="{FF2B5EF4-FFF2-40B4-BE49-F238E27FC236}">
                  <a16:creationId xmlns:a16="http://schemas.microsoft.com/office/drawing/2014/main" id="{00000000-0008-0000-0000-000097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840" name="Check Box 408" hidden="1">
              <a:extLst>
                <a:ext uri="{63B3BB69-23CF-44E3-9099-C40C66FF867C}">
                  <a14:compatExt spid="_x0000_s18840"/>
                </a:ext>
                <a:ext uri="{FF2B5EF4-FFF2-40B4-BE49-F238E27FC236}">
                  <a16:creationId xmlns:a16="http://schemas.microsoft.com/office/drawing/2014/main" id="{00000000-0008-0000-0000-000098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841" name="Check Box 409" hidden="1">
              <a:extLst>
                <a:ext uri="{63B3BB69-23CF-44E3-9099-C40C66FF867C}">
                  <a14:compatExt spid="_x0000_s18841"/>
                </a:ext>
                <a:ext uri="{FF2B5EF4-FFF2-40B4-BE49-F238E27FC236}">
                  <a16:creationId xmlns:a16="http://schemas.microsoft.com/office/drawing/2014/main" id="{00000000-0008-0000-0000-000099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842" name="Check Box 410" hidden="1">
              <a:extLst>
                <a:ext uri="{63B3BB69-23CF-44E3-9099-C40C66FF867C}">
                  <a14:compatExt spid="_x0000_s18842"/>
                </a:ext>
                <a:ext uri="{FF2B5EF4-FFF2-40B4-BE49-F238E27FC236}">
                  <a16:creationId xmlns:a16="http://schemas.microsoft.com/office/drawing/2014/main" id="{00000000-0008-0000-0000-00009A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843" name="Check Box 411" hidden="1">
              <a:extLst>
                <a:ext uri="{63B3BB69-23CF-44E3-9099-C40C66FF867C}">
                  <a14:compatExt spid="_x0000_s18843"/>
                </a:ext>
                <a:ext uri="{FF2B5EF4-FFF2-40B4-BE49-F238E27FC236}">
                  <a16:creationId xmlns:a16="http://schemas.microsoft.com/office/drawing/2014/main" id="{00000000-0008-0000-0000-00009B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844" name="Check Box 412" hidden="1">
              <a:extLst>
                <a:ext uri="{63B3BB69-23CF-44E3-9099-C40C66FF867C}">
                  <a14:compatExt spid="_x0000_s18844"/>
                </a:ext>
                <a:ext uri="{FF2B5EF4-FFF2-40B4-BE49-F238E27FC236}">
                  <a16:creationId xmlns:a16="http://schemas.microsoft.com/office/drawing/2014/main" id="{00000000-0008-0000-0000-00009C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845" name="Check Box 413" hidden="1">
              <a:extLst>
                <a:ext uri="{63B3BB69-23CF-44E3-9099-C40C66FF867C}">
                  <a14:compatExt spid="_x0000_s18845"/>
                </a:ext>
                <a:ext uri="{FF2B5EF4-FFF2-40B4-BE49-F238E27FC236}">
                  <a16:creationId xmlns:a16="http://schemas.microsoft.com/office/drawing/2014/main" id="{00000000-0008-0000-0000-00009D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846" name="Check Box 414" hidden="1">
              <a:extLst>
                <a:ext uri="{63B3BB69-23CF-44E3-9099-C40C66FF867C}">
                  <a14:compatExt spid="_x0000_s18846"/>
                </a:ext>
                <a:ext uri="{FF2B5EF4-FFF2-40B4-BE49-F238E27FC236}">
                  <a16:creationId xmlns:a16="http://schemas.microsoft.com/office/drawing/2014/main" id="{00000000-0008-0000-0000-00009E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847" name="Check Box 415" hidden="1">
              <a:extLst>
                <a:ext uri="{63B3BB69-23CF-44E3-9099-C40C66FF867C}">
                  <a14:compatExt spid="_x0000_s18847"/>
                </a:ext>
                <a:ext uri="{FF2B5EF4-FFF2-40B4-BE49-F238E27FC236}">
                  <a16:creationId xmlns:a16="http://schemas.microsoft.com/office/drawing/2014/main" id="{00000000-0008-0000-0000-00009F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848" name="Check Box 416" hidden="1">
              <a:extLst>
                <a:ext uri="{63B3BB69-23CF-44E3-9099-C40C66FF867C}">
                  <a14:compatExt spid="_x0000_s18848"/>
                </a:ext>
                <a:ext uri="{FF2B5EF4-FFF2-40B4-BE49-F238E27FC236}">
                  <a16:creationId xmlns:a16="http://schemas.microsoft.com/office/drawing/2014/main" id="{00000000-0008-0000-0000-0000A0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849" name="Check Box 417" hidden="1">
              <a:extLst>
                <a:ext uri="{63B3BB69-23CF-44E3-9099-C40C66FF867C}">
                  <a14:compatExt spid="_x0000_s18849"/>
                </a:ext>
                <a:ext uri="{FF2B5EF4-FFF2-40B4-BE49-F238E27FC236}">
                  <a16:creationId xmlns:a16="http://schemas.microsoft.com/office/drawing/2014/main" id="{00000000-0008-0000-0000-0000A1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850" name="Check Box 418" hidden="1">
              <a:extLst>
                <a:ext uri="{63B3BB69-23CF-44E3-9099-C40C66FF867C}">
                  <a14:compatExt spid="_x0000_s18850"/>
                </a:ext>
                <a:ext uri="{FF2B5EF4-FFF2-40B4-BE49-F238E27FC236}">
                  <a16:creationId xmlns:a16="http://schemas.microsoft.com/office/drawing/2014/main" id="{00000000-0008-0000-0000-0000A2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851" name="Check Box 419" hidden="1">
              <a:extLst>
                <a:ext uri="{63B3BB69-23CF-44E3-9099-C40C66FF867C}">
                  <a14:compatExt spid="_x0000_s18851"/>
                </a:ext>
                <a:ext uri="{FF2B5EF4-FFF2-40B4-BE49-F238E27FC236}">
                  <a16:creationId xmlns:a16="http://schemas.microsoft.com/office/drawing/2014/main" id="{00000000-0008-0000-0000-0000A3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852" name="Check Box 420" hidden="1">
              <a:extLst>
                <a:ext uri="{63B3BB69-23CF-44E3-9099-C40C66FF867C}">
                  <a14:compatExt spid="_x0000_s18852"/>
                </a:ext>
                <a:ext uri="{FF2B5EF4-FFF2-40B4-BE49-F238E27FC236}">
                  <a16:creationId xmlns:a16="http://schemas.microsoft.com/office/drawing/2014/main" id="{00000000-0008-0000-0000-0000A4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853" name="Check Box 421" hidden="1">
              <a:extLst>
                <a:ext uri="{63B3BB69-23CF-44E3-9099-C40C66FF867C}">
                  <a14:compatExt spid="_x0000_s18853"/>
                </a:ext>
                <a:ext uri="{FF2B5EF4-FFF2-40B4-BE49-F238E27FC236}">
                  <a16:creationId xmlns:a16="http://schemas.microsoft.com/office/drawing/2014/main" id="{00000000-0008-0000-0000-0000A5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854" name="Check Box 422" hidden="1">
              <a:extLst>
                <a:ext uri="{63B3BB69-23CF-44E3-9099-C40C66FF867C}">
                  <a14:compatExt spid="_x0000_s18854"/>
                </a:ext>
                <a:ext uri="{FF2B5EF4-FFF2-40B4-BE49-F238E27FC236}">
                  <a16:creationId xmlns:a16="http://schemas.microsoft.com/office/drawing/2014/main" id="{00000000-0008-0000-0000-0000A6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855" name="Check Box 423" hidden="1">
              <a:extLst>
                <a:ext uri="{63B3BB69-23CF-44E3-9099-C40C66FF867C}">
                  <a14:compatExt spid="_x0000_s18855"/>
                </a:ext>
                <a:ext uri="{FF2B5EF4-FFF2-40B4-BE49-F238E27FC236}">
                  <a16:creationId xmlns:a16="http://schemas.microsoft.com/office/drawing/2014/main" id="{00000000-0008-0000-0000-0000A7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856" name="Check Box 424" hidden="1">
              <a:extLst>
                <a:ext uri="{63B3BB69-23CF-44E3-9099-C40C66FF867C}">
                  <a14:compatExt spid="_x0000_s18856"/>
                </a:ext>
                <a:ext uri="{FF2B5EF4-FFF2-40B4-BE49-F238E27FC236}">
                  <a16:creationId xmlns:a16="http://schemas.microsoft.com/office/drawing/2014/main" id="{00000000-0008-0000-0000-0000A8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857" name="Check Box 425" hidden="1">
              <a:extLst>
                <a:ext uri="{63B3BB69-23CF-44E3-9099-C40C66FF867C}">
                  <a14:compatExt spid="_x0000_s18857"/>
                </a:ext>
                <a:ext uri="{FF2B5EF4-FFF2-40B4-BE49-F238E27FC236}">
                  <a16:creationId xmlns:a16="http://schemas.microsoft.com/office/drawing/2014/main" id="{00000000-0008-0000-0000-0000A9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858" name="Check Box 426" hidden="1">
              <a:extLst>
                <a:ext uri="{63B3BB69-23CF-44E3-9099-C40C66FF867C}">
                  <a14:compatExt spid="_x0000_s18858"/>
                </a:ext>
                <a:ext uri="{FF2B5EF4-FFF2-40B4-BE49-F238E27FC236}">
                  <a16:creationId xmlns:a16="http://schemas.microsoft.com/office/drawing/2014/main" id="{00000000-0008-0000-0000-0000AA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859" name="Check Box 427" hidden="1">
              <a:extLst>
                <a:ext uri="{63B3BB69-23CF-44E3-9099-C40C66FF867C}">
                  <a14:compatExt spid="_x0000_s18859"/>
                </a:ext>
                <a:ext uri="{FF2B5EF4-FFF2-40B4-BE49-F238E27FC236}">
                  <a16:creationId xmlns:a16="http://schemas.microsoft.com/office/drawing/2014/main" id="{00000000-0008-0000-0000-0000AB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860" name="Check Box 428" hidden="1">
              <a:extLst>
                <a:ext uri="{63B3BB69-23CF-44E3-9099-C40C66FF867C}">
                  <a14:compatExt spid="_x0000_s18860"/>
                </a:ext>
                <a:ext uri="{FF2B5EF4-FFF2-40B4-BE49-F238E27FC236}">
                  <a16:creationId xmlns:a16="http://schemas.microsoft.com/office/drawing/2014/main" id="{00000000-0008-0000-0000-0000AC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861" name="Check Box 429" hidden="1">
              <a:extLst>
                <a:ext uri="{63B3BB69-23CF-44E3-9099-C40C66FF867C}">
                  <a14:compatExt spid="_x0000_s18861"/>
                </a:ext>
                <a:ext uri="{FF2B5EF4-FFF2-40B4-BE49-F238E27FC236}">
                  <a16:creationId xmlns:a16="http://schemas.microsoft.com/office/drawing/2014/main" id="{00000000-0008-0000-0000-0000AD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862" name="Check Box 430" hidden="1">
              <a:extLst>
                <a:ext uri="{63B3BB69-23CF-44E3-9099-C40C66FF867C}">
                  <a14:compatExt spid="_x0000_s18862"/>
                </a:ext>
                <a:ext uri="{FF2B5EF4-FFF2-40B4-BE49-F238E27FC236}">
                  <a16:creationId xmlns:a16="http://schemas.microsoft.com/office/drawing/2014/main" id="{00000000-0008-0000-0000-0000AE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863" name="Check Box 431" hidden="1">
              <a:extLst>
                <a:ext uri="{63B3BB69-23CF-44E3-9099-C40C66FF867C}">
                  <a14:compatExt spid="_x0000_s18863"/>
                </a:ext>
                <a:ext uri="{FF2B5EF4-FFF2-40B4-BE49-F238E27FC236}">
                  <a16:creationId xmlns:a16="http://schemas.microsoft.com/office/drawing/2014/main" id="{00000000-0008-0000-0000-0000AF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864" name="Check Box 432" hidden="1">
              <a:extLst>
                <a:ext uri="{63B3BB69-23CF-44E3-9099-C40C66FF867C}">
                  <a14:compatExt spid="_x0000_s18864"/>
                </a:ext>
                <a:ext uri="{FF2B5EF4-FFF2-40B4-BE49-F238E27FC236}">
                  <a16:creationId xmlns:a16="http://schemas.microsoft.com/office/drawing/2014/main" id="{00000000-0008-0000-0000-0000B0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865" name="Check Box 433" hidden="1">
              <a:extLst>
                <a:ext uri="{63B3BB69-23CF-44E3-9099-C40C66FF867C}">
                  <a14:compatExt spid="_x0000_s18865"/>
                </a:ext>
                <a:ext uri="{FF2B5EF4-FFF2-40B4-BE49-F238E27FC236}">
                  <a16:creationId xmlns:a16="http://schemas.microsoft.com/office/drawing/2014/main" id="{00000000-0008-0000-0000-0000B1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866" name="Check Box 434" hidden="1">
              <a:extLst>
                <a:ext uri="{63B3BB69-23CF-44E3-9099-C40C66FF867C}">
                  <a14:compatExt spid="_x0000_s18866"/>
                </a:ext>
                <a:ext uri="{FF2B5EF4-FFF2-40B4-BE49-F238E27FC236}">
                  <a16:creationId xmlns:a16="http://schemas.microsoft.com/office/drawing/2014/main" id="{00000000-0008-0000-0000-0000B2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867" name="Check Box 435" hidden="1">
              <a:extLst>
                <a:ext uri="{63B3BB69-23CF-44E3-9099-C40C66FF867C}">
                  <a14:compatExt spid="_x0000_s18867"/>
                </a:ext>
                <a:ext uri="{FF2B5EF4-FFF2-40B4-BE49-F238E27FC236}">
                  <a16:creationId xmlns:a16="http://schemas.microsoft.com/office/drawing/2014/main" id="{00000000-0008-0000-0000-0000B3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868" name="Check Box 436" hidden="1">
              <a:extLst>
                <a:ext uri="{63B3BB69-23CF-44E3-9099-C40C66FF867C}">
                  <a14:compatExt spid="_x0000_s18868"/>
                </a:ext>
                <a:ext uri="{FF2B5EF4-FFF2-40B4-BE49-F238E27FC236}">
                  <a16:creationId xmlns:a16="http://schemas.microsoft.com/office/drawing/2014/main" id="{00000000-0008-0000-0000-0000B4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869" name="Check Box 437" hidden="1">
              <a:extLst>
                <a:ext uri="{63B3BB69-23CF-44E3-9099-C40C66FF867C}">
                  <a14:compatExt spid="_x0000_s18869"/>
                </a:ext>
                <a:ext uri="{FF2B5EF4-FFF2-40B4-BE49-F238E27FC236}">
                  <a16:creationId xmlns:a16="http://schemas.microsoft.com/office/drawing/2014/main" id="{00000000-0008-0000-0000-0000B5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870" name="Check Box 438" hidden="1">
              <a:extLst>
                <a:ext uri="{63B3BB69-23CF-44E3-9099-C40C66FF867C}">
                  <a14:compatExt spid="_x0000_s18870"/>
                </a:ext>
                <a:ext uri="{FF2B5EF4-FFF2-40B4-BE49-F238E27FC236}">
                  <a16:creationId xmlns:a16="http://schemas.microsoft.com/office/drawing/2014/main" id="{00000000-0008-0000-0000-0000B6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871" name="Check Box 439" hidden="1">
              <a:extLst>
                <a:ext uri="{63B3BB69-23CF-44E3-9099-C40C66FF867C}">
                  <a14:compatExt spid="_x0000_s18871"/>
                </a:ext>
                <a:ext uri="{FF2B5EF4-FFF2-40B4-BE49-F238E27FC236}">
                  <a16:creationId xmlns:a16="http://schemas.microsoft.com/office/drawing/2014/main" id="{00000000-0008-0000-0000-0000B7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872" name="Check Box 440" hidden="1">
              <a:extLst>
                <a:ext uri="{63B3BB69-23CF-44E3-9099-C40C66FF867C}">
                  <a14:compatExt spid="_x0000_s18872"/>
                </a:ext>
                <a:ext uri="{FF2B5EF4-FFF2-40B4-BE49-F238E27FC236}">
                  <a16:creationId xmlns:a16="http://schemas.microsoft.com/office/drawing/2014/main" id="{00000000-0008-0000-0000-0000B8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873" name="Check Box 441" hidden="1">
              <a:extLst>
                <a:ext uri="{63B3BB69-23CF-44E3-9099-C40C66FF867C}">
                  <a14:compatExt spid="_x0000_s18873"/>
                </a:ext>
                <a:ext uri="{FF2B5EF4-FFF2-40B4-BE49-F238E27FC236}">
                  <a16:creationId xmlns:a16="http://schemas.microsoft.com/office/drawing/2014/main" id="{00000000-0008-0000-0000-0000B9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874" name="Check Box 442" hidden="1">
              <a:extLst>
                <a:ext uri="{63B3BB69-23CF-44E3-9099-C40C66FF867C}">
                  <a14:compatExt spid="_x0000_s18874"/>
                </a:ext>
                <a:ext uri="{FF2B5EF4-FFF2-40B4-BE49-F238E27FC236}">
                  <a16:creationId xmlns:a16="http://schemas.microsoft.com/office/drawing/2014/main" id="{00000000-0008-0000-0000-0000BA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875" name="Check Box 443" hidden="1">
              <a:extLst>
                <a:ext uri="{63B3BB69-23CF-44E3-9099-C40C66FF867C}">
                  <a14:compatExt spid="_x0000_s18875"/>
                </a:ext>
                <a:ext uri="{FF2B5EF4-FFF2-40B4-BE49-F238E27FC236}">
                  <a16:creationId xmlns:a16="http://schemas.microsoft.com/office/drawing/2014/main" id="{00000000-0008-0000-0000-0000BB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876" name="Check Box 444" hidden="1">
              <a:extLst>
                <a:ext uri="{63B3BB69-23CF-44E3-9099-C40C66FF867C}">
                  <a14:compatExt spid="_x0000_s18876"/>
                </a:ext>
                <a:ext uri="{FF2B5EF4-FFF2-40B4-BE49-F238E27FC236}">
                  <a16:creationId xmlns:a16="http://schemas.microsoft.com/office/drawing/2014/main" id="{00000000-0008-0000-0000-0000BC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877" name="Check Box 445" hidden="1">
              <a:extLst>
                <a:ext uri="{63B3BB69-23CF-44E3-9099-C40C66FF867C}">
                  <a14:compatExt spid="_x0000_s18877"/>
                </a:ext>
                <a:ext uri="{FF2B5EF4-FFF2-40B4-BE49-F238E27FC236}">
                  <a16:creationId xmlns:a16="http://schemas.microsoft.com/office/drawing/2014/main" id="{00000000-0008-0000-0000-0000BD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878" name="Check Box 446" hidden="1">
              <a:extLst>
                <a:ext uri="{63B3BB69-23CF-44E3-9099-C40C66FF867C}">
                  <a14:compatExt spid="_x0000_s18878"/>
                </a:ext>
                <a:ext uri="{FF2B5EF4-FFF2-40B4-BE49-F238E27FC236}">
                  <a16:creationId xmlns:a16="http://schemas.microsoft.com/office/drawing/2014/main" id="{00000000-0008-0000-0000-0000BE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879" name="Check Box 447" hidden="1">
              <a:extLst>
                <a:ext uri="{63B3BB69-23CF-44E3-9099-C40C66FF867C}">
                  <a14:compatExt spid="_x0000_s18879"/>
                </a:ext>
                <a:ext uri="{FF2B5EF4-FFF2-40B4-BE49-F238E27FC236}">
                  <a16:creationId xmlns:a16="http://schemas.microsoft.com/office/drawing/2014/main" id="{00000000-0008-0000-0000-0000BF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880" name="Check Box 448" hidden="1">
              <a:extLst>
                <a:ext uri="{63B3BB69-23CF-44E3-9099-C40C66FF867C}">
                  <a14:compatExt spid="_x0000_s18880"/>
                </a:ext>
                <a:ext uri="{FF2B5EF4-FFF2-40B4-BE49-F238E27FC236}">
                  <a16:creationId xmlns:a16="http://schemas.microsoft.com/office/drawing/2014/main" id="{00000000-0008-0000-0000-0000C0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881" name="Check Box 449" hidden="1">
              <a:extLst>
                <a:ext uri="{63B3BB69-23CF-44E3-9099-C40C66FF867C}">
                  <a14:compatExt spid="_x0000_s18881"/>
                </a:ext>
                <a:ext uri="{FF2B5EF4-FFF2-40B4-BE49-F238E27FC236}">
                  <a16:creationId xmlns:a16="http://schemas.microsoft.com/office/drawing/2014/main" id="{00000000-0008-0000-0000-0000C1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882" name="Check Box 450" hidden="1">
              <a:extLst>
                <a:ext uri="{63B3BB69-23CF-44E3-9099-C40C66FF867C}">
                  <a14:compatExt spid="_x0000_s18882"/>
                </a:ext>
                <a:ext uri="{FF2B5EF4-FFF2-40B4-BE49-F238E27FC236}">
                  <a16:creationId xmlns:a16="http://schemas.microsoft.com/office/drawing/2014/main" id="{00000000-0008-0000-0000-0000C2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883" name="Check Box 451" hidden="1">
              <a:extLst>
                <a:ext uri="{63B3BB69-23CF-44E3-9099-C40C66FF867C}">
                  <a14:compatExt spid="_x0000_s18883"/>
                </a:ext>
                <a:ext uri="{FF2B5EF4-FFF2-40B4-BE49-F238E27FC236}">
                  <a16:creationId xmlns:a16="http://schemas.microsoft.com/office/drawing/2014/main" id="{00000000-0008-0000-0000-0000C3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884" name="Check Box 452" hidden="1">
              <a:extLst>
                <a:ext uri="{63B3BB69-23CF-44E3-9099-C40C66FF867C}">
                  <a14:compatExt spid="_x0000_s18884"/>
                </a:ext>
                <a:ext uri="{FF2B5EF4-FFF2-40B4-BE49-F238E27FC236}">
                  <a16:creationId xmlns:a16="http://schemas.microsoft.com/office/drawing/2014/main" id="{00000000-0008-0000-0000-0000C4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885" name="Check Box 453" hidden="1">
              <a:extLst>
                <a:ext uri="{63B3BB69-23CF-44E3-9099-C40C66FF867C}">
                  <a14:compatExt spid="_x0000_s18885"/>
                </a:ext>
                <a:ext uri="{FF2B5EF4-FFF2-40B4-BE49-F238E27FC236}">
                  <a16:creationId xmlns:a16="http://schemas.microsoft.com/office/drawing/2014/main" id="{00000000-0008-0000-0000-0000C5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886" name="Check Box 454" hidden="1">
              <a:extLst>
                <a:ext uri="{63B3BB69-23CF-44E3-9099-C40C66FF867C}">
                  <a14:compatExt spid="_x0000_s18886"/>
                </a:ext>
                <a:ext uri="{FF2B5EF4-FFF2-40B4-BE49-F238E27FC236}">
                  <a16:creationId xmlns:a16="http://schemas.microsoft.com/office/drawing/2014/main" id="{00000000-0008-0000-0000-0000C6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887" name="Check Box 455" hidden="1">
              <a:extLst>
                <a:ext uri="{63B3BB69-23CF-44E3-9099-C40C66FF867C}">
                  <a14:compatExt spid="_x0000_s18887"/>
                </a:ext>
                <a:ext uri="{FF2B5EF4-FFF2-40B4-BE49-F238E27FC236}">
                  <a16:creationId xmlns:a16="http://schemas.microsoft.com/office/drawing/2014/main" id="{00000000-0008-0000-0000-0000C7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888" name="Check Box 456" hidden="1">
              <a:extLst>
                <a:ext uri="{63B3BB69-23CF-44E3-9099-C40C66FF867C}">
                  <a14:compatExt spid="_x0000_s18888"/>
                </a:ext>
                <a:ext uri="{FF2B5EF4-FFF2-40B4-BE49-F238E27FC236}">
                  <a16:creationId xmlns:a16="http://schemas.microsoft.com/office/drawing/2014/main" id="{00000000-0008-0000-0000-0000C8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889" name="Check Box 457" hidden="1">
              <a:extLst>
                <a:ext uri="{63B3BB69-23CF-44E3-9099-C40C66FF867C}">
                  <a14:compatExt spid="_x0000_s18889"/>
                </a:ext>
                <a:ext uri="{FF2B5EF4-FFF2-40B4-BE49-F238E27FC236}">
                  <a16:creationId xmlns:a16="http://schemas.microsoft.com/office/drawing/2014/main" id="{00000000-0008-0000-0000-0000C9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890" name="Check Box 458" hidden="1">
              <a:extLst>
                <a:ext uri="{63B3BB69-23CF-44E3-9099-C40C66FF867C}">
                  <a14:compatExt spid="_x0000_s18890"/>
                </a:ext>
                <a:ext uri="{FF2B5EF4-FFF2-40B4-BE49-F238E27FC236}">
                  <a16:creationId xmlns:a16="http://schemas.microsoft.com/office/drawing/2014/main" id="{00000000-0008-0000-0000-0000CA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891" name="Check Box 459" hidden="1">
              <a:extLst>
                <a:ext uri="{63B3BB69-23CF-44E3-9099-C40C66FF867C}">
                  <a14:compatExt spid="_x0000_s18891"/>
                </a:ext>
                <a:ext uri="{FF2B5EF4-FFF2-40B4-BE49-F238E27FC236}">
                  <a16:creationId xmlns:a16="http://schemas.microsoft.com/office/drawing/2014/main" id="{00000000-0008-0000-0000-0000CB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892" name="Check Box 460" hidden="1">
              <a:extLst>
                <a:ext uri="{63B3BB69-23CF-44E3-9099-C40C66FF867C}">
                  <a14:compatExt spid="_x0000_s18892"/>
                </a:ext>
                <a:ext uri="{FF2B5EF4-FFF2-40B4-BE49-F238E27FC236}">
                  <a16:creationId xmlns:a16="http://schemas.microsoft.com/office/drawing/2014/main" id="{00000000-0008-0000-0000-0000CC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893" name="Check Box 461" hidden="1">
              <a:extLst>
                <a:ext uri="{63B3BB69-23CF-44E3-9099-C40C66FF867C}">
                  <a14:compatExt spid="_x0000_s18893"/>
                </a:ext>
                <a:ext uri="{FF2B5EF4-FFF2-40B4-BE49-F238E27FC236}">
                  <a16:creationId xmlns:a16="http://schemas.microsoft.com/office/drawing/2014/main" id="{00000000-0008-0000-0000-0000CD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894" name="Check Box 462" hidden="1">
              <a:extLst>
                <a:ext uri="{63B3BB69-23CF-44E3-9099-C40C66FF867C}">
                  <a14:compatExt spid="_x0000_s18894"/>
                </a:ext>
                <a:ext uri="{FF2B5EF4-FFF2-40B4-BE49-F238E27FC236}">
                  <a16:creationId xmlns:a16="http://schemas.microsoft.com/office/drawing/2014/main" id="{00000000-0008-0000-0000-0000CE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895" name="Check Box 463" hidden="1">
              <a:extLst>
                <a:ext uri="{63B3BB69-23CF-44E3-9099-C40C66FF867C}">
                  <a14:compatExt spid="_x0000_s18895"/>
                </a:ext>
                <a:ext uri="{FF2B5EF4-FFF2-40B4-BE49-F238E27FC236}">
                  <a16:creationId xmlns:a16="http://schemas.microsoft.com/office/drawing/2014/main" id="{00000000-0008-0000-0000-0000CF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896" name="Check Box 464" hidden="1">
              <a:extLst>
                <a:ext uri="{63B3BB69-23CF-44E3-9099-C40C66FF867C}">
                  <a14:compatExt spid="_x0000_s18896"/>
                </a:ext>
                <a:ext uri="{FF2B5EF4-FFF2-40B4-BE49-F238E27FC236}">
                  <a16:creationId xmlns:a16="http://schemas.microsoft.com/office/drawing/2014/main" id="{00000000-0008-0000-0000-0000D0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897" name="Check Box 465" hidden="1">
              <a:extLst>
                <a:ext uri="{63B3BB69-23CF-44E3-9099-C40C66FF867C}">
                  <a14:compatExt spid="_x0000_s18897"/>
                </a:ext>
                <a:ext uri="{FF2B5EF4-FFF2-40B4-BE49-F238E27FC236}">
                  <a16:creationId xmlns:a16="http://schemas.microsoft.com/office/drawing/2014/main" id="{00000000-0008-0000-0000-0000D1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898" name="Check Box 466" hidden="1">
              <a:extLst>
                <a:ext uri="{63B3BB69-23CF-44E3-9099-C40C66FF867C}">
                  <a14:compatExt spid="_x0000_s18898"/>
                </a:ext>
                <a:ext uri="{FF2B5EF4-FFF2-40B4-BE49-F238E27FC236}">
                  <a16:creationId xmlns:a16="http://schemas.microsoft.com/office/drawing/2014/main" id="{00000000-0008-0000-0000-0000D2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899" name="Check Box 467" hidden="1">
              <a:extLst>
                <a:ext uri="{63B3BB69-23CF-44E3-9099-C40C66FF867C}">
                  <a14:compatExt spid="_x0000_s18899"/>
                </a:ext>
                <a:ext uri="{FF2B5EF4-FFF2-40B4-BE49-F238E27FC236}">
                  <a16:creationId xmlns:a16="http://schemas.microsoft.com/office/drawing/2014/main" id="{00000000-0008-0000-0000-0000D3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900" name="Check Box 468" hidden="1">
              <a:extLst>
                <a:ext uri="{63B3BB69-23CF-44E3-9099-C40C66FF867C}">
                  <a14:compatExt spid="_x0000_s18900"/>
                </a:ext>
                <a:ext uri="{FF2B5EF4-FFF2-40B4-BE49-F238E27FC236}">
                  <a16:creationId xmlns:a16="http://schemas.microsoft.com/office/drawing/2014/main" id="{00000000-0008-0000-0000-0000D4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901" name="Check Box 469" hidden="1">
              <a:extLst>
                <a:ext uri="{63B3BB69-23CF-44E3-9099-C40C66FF867C}">
                  <a14:compatExt spid="_x0000_s18901"/>
                </a:ext>
                <a:ext uri="{FF2B5EF4-FFF2-40B4-BE49-F238E27FC236}">
                  <a16:creationId xmlns:a16="http://schemas.microsoft.com/office/drawing/2014/main" id="{00000000-0008-0000-0000-0000D5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902" name="Check Box 470" hidden="1">
              <a:extLst>
                <a:ext uri="{63B3BB69-23CF-44E3-9099-C40C66FF867C}">
                  <a14:compatExt spid="_x0000_s18902"/>
                </a:ext>
                <a:ext uri="{FF2B5EF4-FFF2-40B4-BE49-F238E27FC236}">
                  <a16:creationId xmlns:a16="http://schemas.microsoft.com/office/drawing/2014/main" id="{00000000-0008-0000-0000-0000D6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903" name="Check Box 471" hidden="1">
              <a:extLst>
                <a:ext uri="{63B3BB69-23CF-44E3-9099-C40C66FF867C}">
                  <a14:compatExt spid="_x0000_s18903"/>
                </a:ext>
                <a:ext uri="{FF2B5EF4-FFF2-40B4-BE49-F238E27FC236}">
                  <a16:creationId xmlns:a16="http://schemas.microsoft.com/office/drawing/2014/main" id="{00000000-0008-0000-0000-0000D7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904" name="Check Box 472" hidden="1">
              <a:extLst>
                <a:ext uri="{63B3BB69-23CF-44E3-9099-C40C66FF867C}">
                  <a14:compatExt spid="_x0000_s18904"/>
                </a:ext>
                <a:ext uri="{FF2B5EF4-FFF2-40B4-BE49-F238E27FC236}">
                  <a16:creationId xmlns:a16="http://schemas.microsoft.com/office/drawing/2014/main" id="{00000000-0008-0000-0000-0000D8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905" name="Check Box 473" hidden="1">
              <a:extLst>
                <a:ext uri="{63B3BB69-23CF-44E3-9099-C40C66FF867C}">
                  <a14:compatExt spid="_x0000_s18905"/>
                </a:ext>
                <a:ext uri="{FF2B5EF4-FFF2-40B4-BE49-F238E27FC236}">
                  <a16:creationId xmlns:a16="http://schemas.microsoft.com/office/drawing/2014/main" id="{00000000-0008-0000-0000-0000D9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906" name="Check Box 474" hidden="1">
              <a:extLst>
                <a:ext uri="{63B3BB69-23CF-44E3-9099-C40C66FF867C}">
                  <a14:compatExt spid="_x0000_s18906"/>
                </a:ext>
                <a:ext uri="{FF2B5EF4-FFF2-40B4-BE49-F238E27FC236}">
                  <a16:creationId xmlns:a16="http://schemas.microsoft.com/office/drawing/2014/main" id="{00000000-0008-0000-0000-0000DA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907" name="Check Box 475" hidden="1">
              <a:extLst>
                <a:ext uri="{63B3BB69-23CF-44E3-9099-C40C66FF867C}">
                  <a14:compatExt spid="_x0000_s18907"/>
                </a:ext>
                <a:ext uri="{FF2B5EF4-FFF2-40B4-BE49-F238E27FC236}">
                  <a16:creationId xmlns:a16="http://schemas.microsoft.com/office/drawing/2014/main" id="{00000000-0008-0000-0000-0000DB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908" name="Check Box 476" hidden="1">
              <a:extLst>
                <a:ext uri="{63B3BB69-23CF-44E3-9099-C40C66FF867C}">
                  <a14:compatExt spid="_x0000_s18908"/>
                </a:ext>
                <a:ext uri="{FF2B5EF4-FFF2-40B4-BE49-F238E27FC236}">
                  <a16:creationId xmlns:a16="http://schemas.microsoft.com/office/drawing/2014/main" id="{00000000-0008-0000-0000-0000DC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909" name="Check Box 477" hidden="1">
              <a:extLst>
                <a:ext uri="{63B3BB69-23CF-44E3-9099-C40C66FF867C}">
                  <a14:compatExt spid="_x0000_s18909"/>
                </a:ext>
                <a:ext uri="{FF2B5EF4-FFF2-40B4-BE49-F238E27FC236}">
                  <a16:creationId xmlns:a16="http://schemas.microsoft.com/office/drawing/2014/main" id="{00000000-0008-0000-0000-0000DD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910" name="Check Box 478" hidden="1">
              <a:extLst>
                <a:ext uri="{63B3BB69-23CF-44E3-9099-C40C66FF867C}">
                  <a14:compatExt spid="_x0000_s18910"/>
                </a:ext>
                <a:ext uri="{FF2B5EF4-FFF2-40B4-BE49-F238E27FC236}">
                  <a16:creationId xmlns:a16="http://schemas.microsoft.com/office/drawing/2014/main" id="{00000000-0008-0000-0000-0000DE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911" name="Check Box 479" hidden="1">
              <a:extLst>
                <a:ext uri="{63B3BB69-23CF-44E3-9099-C40C66FF867C}">
                  <a14:compatExt spid="_x0000_s18911"/>
                </a:ext>
                <a:ext uri="{FF2B5EF4-FFF2-40B4-BE49-F238E27FC236}">
                  <a16:creationId xmlns:a16="http://schemas.microsoft.com/office/drawing/2014/main" id="{00000000-0008-0000-0000-0000DF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912" name="Check Box 480" hidden="1">
              <a:extLst>
                <a:ext uri="{63B3BB69-23CF-44E3-9099-C40C66FF867C}">
                  <a14:compatExt spid="_x0000_s18912"/>
                </a:ext>
                <a:ext uri="{FF2B5EF4-FFF2-40B4-BE49-F238E27FC236}">
                  <a16:creationId xmlns:a16="http://schemas.microsoft.com/office/drawing/2014/main" id="{00000000-0008-0000-0000-0000E0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913" name="Check Box 481" hidden="1">
              <a:extLst>
                <a:ext uri="{63B3BB69-23CF-44E3-9099-C40C66FF867C}">
                  <a14:compatExt spid="_x0000_s18913"/>
                </a:ext>
                <a:ext uri="{FF2B5EF4-FFF2-40B4-BE49-F238E27FC236}">
                  <a16:creationId xmlns:a16="http://schemas.microsoft.com/office/drawing/2014/main" id="{00000000-0008-0000-0000-0000E1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914" name="Check Box 482" hidden="1">
              <a:extLst>
                <a:ext uri="{63B3BB69-23CF-44E3-9099-C40C66FF867C}">
                  <a14:compatExt spid="_x0000_s18914"/>
                </a:ext>
                <a:ext uri="{FF2B5EF4-FFF2-40B4-BE49-F238E27FC236}">
                  <a16:creationId xmlns:a16="http://schemas.microsoft.com/office/drawing/2014/main" id="{00000000-0008-0000-0000-0000E2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915" name="Check Box 483" hidden="1">
              <a:extLst>
                <a:ext uri="{63B3BB69-23CF-44E3-9099-C40C66FF867C}">
                  <a14:compatExt spid="_x0000_s18915"/>
                </a:ext>
                <a:ext uri="{FF2B5EF4-FFF2-40B4-BE49-F238E27FC236}">
                  <a16:creationId xmlns:a16="http://schemas.microsoft.com/office/drawing/2014/main" id="{00000000-0008-0000-0000-0000E3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916" name="Check Box 484" hidden="1">
              <a:extLst>
                <a:ext uri="{63B3BB69-23CF-44E3-9099-C40C66FF867C}">
                  <a14:compatExt spid="_x0000_s18916"/>
                </a:ext>
                <a:ext uri="{FF2B5EF4-FFF2-40B4-BE49-F238E27FC236}">
                  <a16:creationId xmlns:a16="http://schemas.microsoft.com/office/drawing/2014/main" id="{00000000-0008-0000-0000-0000E4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917" name="Check Box 485" hidden="1">
              <a:extLst>
                <a:ext uri="{63B3BB69-23CF-44E3-9099-C40C66FF867C}">
                  <a14:compatExt spid="_x0000_s18917"/>
                </a:ext>
                <a:ext uri="{FF2B5EF4-FFF2-40B4-BE49-F238E27FC236}">
                  <a16:creationId xmlns:a16="http://schemas.microsoft.com/office/drawing/2014/main" id="{00000000-0008-0000-0000-0000E5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918" name="Check Box 486" hidden="1">
              <a:extLst>
                <a:ext uri="{63B3BB69-23CF-44E3-9099-C40C66FF867C}">
                  <a14:compatExt spid="_x0000_s18918"/>
                </a:ext>
                <a:ext uri="{FF2B5EF4-FFF2-40B4-BE49-F238E27FC236}">
                  <a16:creationId xmlns:a16="http://schemas.microsoft.com/office/drawing/2014/main" id="{00000000-0008-0000-0000-0000E6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919" name="Check Box 487" hidden="1">
              <a:extLst>
                <a:ext uri="{63B3BB69-23CF-44E3-9099-C40C66FF867C}">
                  <a14:compatExt spid="_x0000_s18919"/>
                </a:ext>
                <a:ext uri="{FF2B5EF4-FFF2-40B4-BE49-F238E27FC236}">
                  <a16:creationId xmlns:a16="http://schemas.microsoft.com/office/drawing/2014/main" id="{00000000-0008-0000-0000-0000E7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925" name="Check Box 493" hidden="1">
              <a:extLst>
                <a:ext uri="{63B3BB69-23CF-44E3-9099-C40C66FF867C}">
                  <a14:compatExt spid="_x0000_s18925"/>
                </a:ext>
                <a:ext uri="{FF2B5EF4-FFF2-40B4-BE49-F238E27FC236}">
                  <a16:creationId xmlns:a16="http://schemas.microsoft.com/office/drawing/2014/main" id="{00000000-0008-0000-0000-0000ED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926" name="Check Box 494" hidden="1">
              <a:extLst>
                <a:ext uri="{63B3BB69-23CF-44E3-9099-C40C66FF867C}">
                  <a14:compatExt spid="_x0000_s18926"/>
                </a:ext>
                <a:ext uri="{FF2B5EF4-FFF2-40B4-BE49-F238E27FC236}">
                  <a16:creationId xmlns:a16="http://schemas.microsoft.com/office/drawing/2014/main" id="{00000000-0008-0000-0000-0000EE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927" name="Check Box 495" hidden="1">
              <a:extLst>
                <a:ext uri="{63B3BB69-23CF-44E3-9099-C40C66FF867C}">
                  <a14:compatExt spid="_x0000_s18927"/>
                </a:ext>
                <a:ext uri="{FF2B5EF4-FFF2-40B4-BE49-F238E27FC236}">
                  <a16:creationId xmlns:a16="http://schemas.microsoft.com/office/drawing/2014/main" id="{00000000-0008-0000-0000-0000EF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928" name="Check Box 496" hidden="1">
              <a:extLst>
                <a:ext uri="{63B3BB69-23CF-44E3-9099-C40C66FF867C}">
                  <a14:compatExt spid="_x0000_s18928"/>
                </a:ext>
                <a:ext uri="{FF2B5EF4-FFF2-40B4-BE49-F238E27FC236}">
                  <a16:creationId xmlns:a16="http://schemas.microsoft.com/office/drawing/2014/main" id="{00000000-0008-0000-0000-0000F0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929" name="Check Box 497" hidden="1">
              <a:extLst>
                <a:ext uri="{63B3BB69-23CF-44E3-9099-C40C66FF867C}">
                  <a14:compatExt spid="_x0000_s18929"/>
                </a:ext>
                <a:ext uri="{FF2B5EF4-FFF2-40B4-BE49-F238E27FC236}">
                  <a16:creationId xmlns:a16="http://schemas.microsoft.com/office/drawing/2014/main" id="{00000000-0008-0000-0000-0000F1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930" name="Check Box 498" hidden="1">
              <a:extLst>
                <a:ext uri="{63B3BB69-23CF-44E3-9099-C40C66FF867C}">
                  <a14:compatExt spid="_x0000_s18930"/>
                </a:ext>
                <a:ext uri="{FF2B5EF4-FFF2-40B4-BE49-F238E27FC236}">
                  <a16:creationId xmlns:a16="http://schemas.microsoft.com/office/drawing/2014/main" id="{00000000-0008-0000-0000-0000F2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931" name="Check Box 499" hidden="1">
              <a:extLst>
                <a:ext uri="{63B3BB69-23CF-44E3-9099-C40C66FF867C}">
                  <a14:compatExt spid="_x0000_s18931"/>
                </a:ext>
                <a:ext uri="{FF2B5EF4-FFF2-40B4-BE49-F238E27FC236}">
                  <a16:creationId xmlns:a16="http://schemas.microsoft.com/office/drawing/2014/main" id="{00000000-0008-0000-0000-0000F3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932" name="Check Box 500" hidden="1">
              <a:extLst>
                <a:ext uri="{63B3BB69-23CF-44E3-9099-C40C66FF867C}">
                  <a14:compatExt spid="_x0000_s18932"/>
                </a:ext>
                <a:ext uri="{FF2B5EF4-FFF2-40B4-BE49-F238E27FC236}">
                  <a16:creationId xmlns:a16="http://schemas.microsoft.com/office/drawing/2014/main" id="{00000000-0008-0000-0000-0000F4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933" name="Check Box 501" hidden="1">
              <a:extLst>
                <a:ext uri="{63B3BB69-23CF-44E3-9099-C40C66FF867C}">
                  <a14:compatExt spid="_x0000_s18933"/>
                </a:ext>
                <a:ext uri="{FF2B5EF4-FFF2-40B4-BE49-F238E27FC236}">
                  <a16:creationId xmlns:a16="http://schemas.microsoft.com/office/drawing/2014/main" id="{00000000-0008-0000-0000-0000F5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934" name="Check Box 502" hidden="1">
              <a:extLst>
                <a:ext uri="{63B3BB69-23CF-44E3-9099-C40C66FF867C}">
                  <a14:compatExt spid="_x0000_s18934"/>
                </a:ext>
                <a:ext uri="{FF2B5EF4-FFF2-40B4-BE49-F238E27FC236}">
                  <a16:creationId xmlns:a16="http://schemas.microsoft.com/office/drawing/2014/main" id="{00000000-0008-0000-0000-0000F6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935" name="Check Box 503" hidden="1">
              <a:extLst>
                <a:ext uri="{63B3BB69-23CF-44E3-9099-C40C66FF867C}">
                  <a14:compatExt spid="_x0000_s18935"/>
                </a:ext>
                <a:ext uri="{FF2B5EF4-FFF2-40B4-BE49-F238E27FC236}">
                  <a16:creationId xmlns:a16="http://schemas.microsoft.com/office/drawing/2014/main" id="{00000000-0008-0000-0000-0000F7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941" name="Check Box 509" hidden="1">
              <a:extLst>
                <a:ext uri="{63B3BB69-23CF-44E3-9099-C40C66FF867C}">
                  <a14:compatExt spid="_x0000_s18941"/>
                </a:ext>
                <a:ext uri="{FF2B5EF4-FFF2-40B4-BE49-F238E27FC236}">
                  <a16:creationId xmlns:a16="http://schemas.microsoft.com/office/drawing/2014/main" id="{00000000-0008-0000-0000-0000FD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942" name="Check Box 510" hidden="1">
              <a:extLst>
                <a:ext uri="{63B3BB69-23CF-44E3-9099-C40C66FF867C}">
                  <a14:compatExt spid="_x0000_s18942"/>
                </a:ext>
                <a:ext uri="{FF2B5EF4-FFF2-40B4-BE49-F238E27FC236}">
                  <a16:creationId xmlns:a16="http://schemas.microsoft.com/office/drawing/2014/main" id="{00000000-0008-0000-0000-0000FE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943" name="Check Box 511" hidden="1">
              <a:extLst>
                <a:ext uri="{63B3BB69-23CF-44E3-9099-C40C66FF867C}">
                  <a14:compatExt spid="_x0000_s18943"/>
                </a:ext>
                <a:ext uri="{FF2B5EF4-FFF2-40B4-BE49-F238E27FC236}">
                  <a16:creationId xmlns:a16="http://schemas.microsoft.com/office/drawing/2014/main" id="{00000000-0008-0000-0000-0000FF4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944" name="Check Box 512" hidden="1">
              <a:extLst>
                <a:ext uri="{63B3BB69-23CF-44E3-9099-C40C66FF867C}">
                  <a14:compatExt spid="_x0000_s18944"/>
                </a:ext>
                <a:ext uri="{FF2B5EF4-FFF2-40B4-BE49-F238E27FC236}">
                  <a16:creationId xmlns:a16="http://schemas.microsoft.com/office/drawing/2014/main" id="{00000000-0008-0000-0000-00000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945" name="Check Box 513" hidden="1">
              <a:extLst>
                <a:ext uri="{63B3BB69-23CF-44E3-9099-C40C66FF867C}">
                  <a14:compatExt spid="_x0000_s18945"/>
                </a:ext>
                <a:ext uri="{FF2B5EF4-FFF2-40B4-BE49-F238E27FC236}">
                  <a16:creationId xmlns:a16="http://schemas.microsoft.com/office/drawing/2014/main" id="{00000000-0008-0000-0000-00000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946" name="Check Box 514" hidden="1">
              <a:extLst>
                <a:ext uri="{63B3BB69-23CF-44E3-9099-C40C66FF867C}">
                  <a14:compatExt spid="_x0000_s18946"/>
                </a:ext>
                <a:ext uri="{FF2B5EF4-FFF2-40B4-BE49-F238E27FC236}">
                  <a16:creationId xmlns:a16="http://schemas.microsoft.com/office/drawing/2014/main" id="{00000000-0008-0000-0000-00000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947" name="Check Box 515" hidden="1">
              <a:extLst>
                <a:ext uri="{63B3BB69-23CF-44E3-9099-C40C66FF867C}">
                  <a14:compatExt spid="_x0000_s18947"/>
                </a:ext>
                <a:ext uri="{FF2B5EF4-FFF2-40B4-BE49-F238E27FC236}">
                  <a16:creationId xmlns:a16="http://schemas.microsoft.com/office/drawing/2014/main" id="{00000000-0008-0000-0000-00000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948" name="Check Box 516" hidden="1">
              <a:extLst>
                <a:ext uri="{63B3BB69-23CF-44E3-9099-C40C66FF867C}">
                  <a14:compatExt spid="_x0000_s18948"/>
                </a:ext>
                <a:ext uri="{FF2B5EF4-FFF2-40B4-BE49-F238E27FC236}">
                  <a16:creationId xmlns:a16="http://schemas.microsoft.com/office/drawing/2014/main" id="{00000000-0008-0000-0000-00000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949" name="Check Box 517" hidden="1">
              <a:extLst>
                <a:ext uri="{63B3BB69-23CF-44E3-9099-C40C66FF867C}">
                  <a14:compatExt spid="_x0000_s18949"/>
                </a:ext>
                <a:ext uri="{FF2B5EF4-FFF2-40B4-BE49-F238E27FC236}">
                  <a16:creationId xmlns:a16="http://schemas.microsoft.com/office/drawing/2014/main" id="{00000000-0008-0000-0000-00000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950" name="Check Box 518" hidden="1">
              <a:extLst>
                <a:ext uri="{63B3BB69-23CF-44E3-9099-C40C66FF867C}">
                  <a14:compatExt spid="_x0000_s18950"/>
                </a:ext>
                <a:ext uri="{FF2B5EF4-FFF2-40B4-BE49-F238E27FC236}">
                  <a16:creationId xmlns:a16="http://schemas.microsoft.com/office/drawing/2014/main" id="{00000000-0008-0000-0000-00000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951" name="Check Box 519" hidden="1">
              <a:extLst>
                <a:ext uri="{63B3BB69-23CF-44E3-9099-C40C66FF867C}">
                  <a14:compatExt spid="_x0000_s18951"/>
                </a:ext>
                <a:ext uri="{FF2B5EF4-FFF2-40B4-BE49-F238E27FC236}">
                  <a16:creationId xmlns:a16="http://schemas.microsoft.com/office/drawing/2014/main" id="{00000000-0008-0000-0000-00000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952" name="Check Box 520" hidden="1">
              <a:extLst>
                <a:ext uri="{63B3BB69-23CF-44E3-9099-C40C66FF867C}">
                  <a14:compatExt spid="_x0000_s18952"/>
                </a:ext>
                <a:ext uri="{FF2B5EF4-FFF2-40B4-BE49-F238E27FC236}">
                  <a16:creationId xmlns:a16="http://schemas.microsoft.com/office/drawing/2014/main" id="{00000000-0008-0000-0000-00000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953" name="Check Box 521" hidden="1">
              <a:extLst>
                <a:ext uri="{63B3BB69-23CF-44E3-9099-C40C66FF867C}">
                  <a14:compatExt spid="_x0000_s18953"/>
                </a:ext>
                <a:ext uri="{FF2B5EF4-FFF2-40B4-BE49-F238E27FC236}">
                  <a16:creationId xmlns:a16="http://schemas.microsoft.com/office/drawing/2014/main" id="{00000000-0008-0000-0000-00000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954" name="Check Box 522" hidden="1">
              <a:extLst>
                <a:ext uri="{63B3BB69-23CF-44E3-9099-C40C66FF867C}">
                  <a14:compatExt spid="_x0000_s18954"/>
                </a:ext>
                <a:ext uri="{FF2B5EF4-FFF2-40B4-BE49-F238E27FC236}">
                  <a16:creationId xmlns:a16="http://schemas.microsoft.com/office/drawing/2014/main" id="{00000000-0008-0000-0000-00000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955" name="Check Box 523" hidden="1">
              <a:extLst>
                <a:ext uri="{63B3BB69-23CF-44E3-9099-C40C66FF867C}">
                  <a14:compatExt spid="_x0000_s18955"/>
                </a:ext>
                <a:ext uri="{FF2B5EF4-FFF2-40B4-BE49-F238E27FC236}">
                  <a16:creationId xmlns:a16="http://schemas.microsoft.com/office/drawing/2014/main" id="{00000000-0008-0000-0000-00000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956" name="Check Box 524" hidden="1">
              <a:extLst>
                <a:ext uri="{63B3BB69-23CF-44E3-9099-C40C66FF867C}">
                  <a14:compatExt spid="_x0000_s18956"/>
                </a:ext>
                <a:ext uri="{FF2B5EF4-FFF2-40B4-BE49-F238E27FC236}">
                  <a16:creationId xmlns:a16="http://schemas.microsoft.com/office/drawing/2014/main" id="{00000000-0008-0000-0000-00000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957" name="Check Box 525" hidden="1">
              <a:extLst>
                <a:ext uri="{63B3BB69-23CF-44E3-9099-C40C66FF867C}">
                  <a14:compatExt spid="_x0000_s18957"/>
                </a:ext>
                <a:ext uri="{FF2B5EF4-FFF2-40B4-BE49-F238E27FC236}">
                  <a16:creationId xmlns:a16="http://schemas.microsoft.com/office/drawing/2014/main" id="{00000000-0008-0000-0000-00000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958" name="Check Box 526" hidden="1">
              <a:extLst>
                <a:ext uri="{63B3BB69-23CF-44E3-9099-C40C66FF867C}">
                  <a14:compatExt spid="_x0000_s18958"/>
                </a:ext>
                <a:ext uri="{FF2B5EF4-FFF2-40B4-BE49-F238E27FC236}">
                  <a16:creationId xmlns:a16="http://schemas.microsoft.com/office/drawing/2014/main" id="{00000000-0008-0000-0000-00000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959" name="Check Box 527" hidden="1">
              <a:extLst>
                <a:ext uri="{63B3BB69-23CF-44E3-9099-C40C66FF867C}">
                  <a14:compatExt spid="_x0000_s18959"/>
                </a:ext>
                <a:ext uri="{FF2B5EF4-FFF2-40B4-BE49-F238E27FC236}">
                  <a16:creationId xmlns:a16="http://schemas.microsoft.com/office/drawing/2014/main" id="{00000000-0008-0000-0000-00000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960" name="Check Box 528" hidden="1">
              <a:extLst>
                <a:ext uri="{63B3BB69-23CF-44E3-9099-C40C66FF867C}">
                  <a14:compatExt spid="_x0000_s18960"/>
                </a:ext>
                <a:ext uri="{FF2B5EF4-FFF2-40B4-BE49-F238E27FC236}">
                  <a16:creationId xmlns:a16="http://schemas.microsoft.com/office/drawing/2014/main" id="{00000000-0008-0000-0000-00001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961" name="Check Box 529" hidden="1">
              <a:extLst>
                <a:ext uri="{63B3BB69-23CF-44E3-9099-C40C66FF867C}">
                  <a14:compatExt spid="_x0000_s18961"/>
                </a:ext>
                <a:ext uri="{FF2B5EF4-FFF2-40B4-BE49-F238E27FC236}">
                  <a16:creationId xmlns:a16="http://schemas.microsoft.com/office/drawing/2014/main" id="{00000000-0008-0000-0000-00001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962" name="Check Box 530" hidden="1">
              <a:extLst>
                <a:ext uri="{63B3BB69-23CF-44E3-9099-C40C66FF867C}">
                  <a14:compatExt spid="_x0000_s18962"/>
                </a:ext>
                <a:ext uri="{FF2B5EF4-FFF2-40B4-BE49-F238E27FC236}">
                  <a16:creationId xmlns:a16="http://schemas.microsoft.com/office/drawing/2014/main" id="{00000000-0008-0000-0000-00001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963" name="Check Box 531" hidden="1">
              <a:extLst>
                <a:ext uri="{63B3BB69-23CF-44E3-9099-C40C66FF867C}">
                  <a14:compatExt spid="_x0000_s18963"/>
                </a:ext>
                <a:ext uri="{FF2B5EF4-FFF2-40B4-BE49-F238E27FC236}">
                  <a16:creationId xmlns:a16="http://schemas.microsoft.com/office/drawing/2014/main" id="{00000000-0008-0000-0000-00001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964" name="Check Box 532" hidden="1">
              <a:extLst>
                <a:ext uri="{63B3BB69-23CF-44E3-9099-C40C66FF867C}">
                  <a14:compatExt spid="_x0000_s18964"/>
                </a:ext>
                <a:ext uri="{FF2B5EF4-FFF2-40B4-BE49-F238E27FC236}">
                  <a16:creationId xmlns:a16="http://schemas.microsoft.com/office/drawing/2014/main" id="{00000000-0008-0000-0000-00001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965" name="Check Box 533" hidden="1">
              <a:extLst>
                <a:ext uri="{63B3BB69-23CF-44E3-9099-C40C66FF867C}">
                  <a14:compatExt spid="_x0000_s18965"/>
                </a:ext>
                <a:ext uri="{FF2B5EF4-FFF2-40B4-BE49-F238E27FC236}">
                  <a16:creationId xmlns:a16="http://schemas.microsoft.com/office/drawing/2014/main" id="{00000000-0008-0000-0000-00001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966" name="Check Box 534" hidden="1">
              <a:extLst>
                <a:ext uri="{63B3BB69-23CF-44E3-9099-C40C66FF867C}">
                  <a14:compatExt spid="_x0000_s18966"/>
                </a:ext>
                <a:ext uri="{FF2B5EF4-FFF2-40B4-BE49-F238E27FC236}">
                  <a16:creationId xmlns:a16="http://schemas.microsoft.com/office/drawing/2014/main" id="{00000000-0008-0000-0000-00001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967" name="Check Box 535" hidden="1">
              <a:extLst>
                <a:ext uri="{63B3BB69-23CF-44E3-9099-C40C66FF867C}">
                  <a14:compatExt spid="_x0000_s18967"/>
                </a:ext>
                <a:ext uri="{FF2B5EF4-FFF2-40B4-BE49-F238E27FC236}">
                  <a16:creationId xmlns:a16="http://schemas.microsoft.com/office/drawing/2014/main" id="{00000000-0008-0000-0000-00001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968" name="Check Box 536" hidden="1">
              <a:extLst>
                <a:ext uri="{63B3BB69-23CF-44E3-9099-C40C66FF867C}">
                  <a14:compatExt spid="_x0000_s18968"/>
                </a:ext>
                <a:ext uri="{FF2B5EF4-FFF2-40B4-BE49-F238E27FC236}">
                  <a16:creationId xmlns:a16="http://schemas.microsoft.com/office/drawing/2014/main" id="{00000000-0008-0000-0000-00001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969" name="Check Box 537" hidden="1">
              <a:extLst>
                <a:ext uri="{63B3BB69-23CF-44E3-9099-C40C66FF867C}">
                  <a14:compatExt spid="_x0000_s18969"/>
                </a:ext>
                <a:ext uri="{FF2B5EF4-FFF2-40B4-BE49-F238E27FC236}">
                  <a16:creationId xmlns:a16="http://schemas.microsoft.com/office/drawing/2014/main" id="{00000000-0008-0000-0000-00001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970" name="Check Box 538" hidden="1">
              <a:extLst>
                <a:ext uri="{63B3BB69-23CF-44E3-9099-C40C66FF867C}">
                  <a14:compatExt spid="_x0000_s18970"/>
                </a:ext>
                <a:ext uri="{FF2B5EF4-FFF2-40B4-BE49-F238E27FC236}">
                  <a16:creationId xmlns:a16="http://schemas.microsoft.com/office/drawing/2014/main" id="{00000000-0008-0000-0000-00001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971" name="Check Box 539" hidden="1">
              <a:extLst>
                <a:ext uri="{63B3BB69-23CF-44E3-9099-C40C66FF867C}">
                  <a14:compatExt spid="_x0000_s18971"/>
                </a:ext>
                <a:ext uri="{FF2B5EF4-FFF2-40B4-BE49-F238E27FC236}">
                  <a16:creationId xmlns:a16="http://schemas.microsoft.com/office/drawing/2014/main" id="{00000000-0008-0000-0000-00001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972" name="Check Box 540" hidden="1">
              <a:extLst>
                <a:ext uri="{63B3BB69-23CF-44E3-9099-C40C66FF867C}">
                  <a14:compatExt spid="_x0000_s18972"/>
                </a:ext>
                <a:ext uri="{FF2B5EF4-FFF2-40B4-BE49-F238E27FC236}">
                  <a16:creationId xmlns:a16="http://schemas.microsoft.com/office/drawing/2014/main" id="{00000000-0008-0000-0000-00001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973" name="Check Box 541" hidden="1">
              <a:extLst>
                <a:ext uri="{63B3BB69-23CF-44E3-9099-C40C66FF867C}">
                  <a14:compatExt spid="_x0000_s18973"/>
                </a:ext>
                <a:ext uri="{FF2B5EF4-FFF2-40B4-BE49-F238E27FC236}">
                  <a16:creationId xmlns:a16="http://schemas.microsoft.com/office/drawing/2014/main" id="{00000000-0008-0000-0000-00001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974" name="Check Box 542" hidden="1">
              <a:extLst>
                <a:ext uri="{63B3BB69-23CF-44E3-9099-C40C66FF867C}">
                  <a14:compatExt spid="_x0000_s18974"/>
                </a:ext>
                <a:ext uri="{FF2B5EF4-FFF2-40B4-BE49-F238E27FC236}">
                  <a16:creationId xmlns:a16="http://schemas.microsoft.com/office/drawing/2014/main" id="{00000000-0008-0000-0000-00001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975" name="Check Box 543" hidden="1">
              <a:extLst>
                <a:ext uri="{63B3BB69-23CF-44E3-9099-C40C66FF867C}">
                  <a14:compatExt spid="_x0000_s18975"/>
                </a:ext>
                <a:ext uri="{FF2B5EF4-FFF2-40B4-BE49-F238E27FC236}">
                  <a16:creationId xmlns:a16="http://schemas.microsoft.com/office/drawing/2014/main" id="{00000000-0008-0000-0000-00001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976" name="Check Box 544" hidden="1">
              <a:extLst>
                <a:ext uri="{63B3BB69-23CF-44E3-9099-C40C66FF867C}">
                  <a14:compatExt spid="_x0000_s18976"/>
                </a:ext>
                <a:ext uri="{FF2B5EF4-FFF2-40B4-BE49-F238E27FC236}">
                  <a16:creationId xmlns:a16="http://schemas.microsoft.com/office/drawing/2014/main" id="{00000000-0008-0000-0000-00002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977" name="Check Box 545" hidden="1">
              <a:extLst>
                <a:ext uri="{63B3BB69-23CF-44E3-9099-C40C66FF867C}">
                  <a14:compatExt spid="_x0000_s18977"/>
                </a:ext>
                <a:ext uri="{FF2B5EF4-FFF2-40B4-BE49-F238E27FC236}">
                  <a16:creationId xmlns:a16="http://schemas.microsoft.com/office/drawing/2014/main" id="{00000000-0008-0000-0000-00002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978" name="Check Box 546" hidden="1">
              <a:extLst>
                <a:ext uri="{63B3BB69-23CF-44E3-9099-C40C66FF867C}">
                  <a14:compatExt spid="_x0000_s18978"/>
                </a:ext>
                <a:ext uri="{FF2B5EF4-FFF2-40B4-BE49-F238E27FC236}">
                  <a16:creationId xmlns:a16="http://schemas.microsoft.com/office/drawing/2014/main" id="{00000000-0008-0000-0000-00002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979" name="Check Box 547" hidden="1">
              <a:extLst>
                <a:ext uri="{63B3BB69-23CF-44E3-9099-C40C66FF867C}">
                  <a14:compatExt spid="_x0000_s18979"/>
                </a:ext>
                <a:ext uri="{FF2B5EF4-FFF2-40B4-BE49-F238E27FC236}">
                  <a16:creationId xmlns:a16="http://schemas.microsoft.com/office/drawing/2014/main" id="{00000000-0008-0000-0000-00002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980" name="Check Box 548" hidden="1">
              <a:extLst>
                <a:ext uri="{63B3BB69-23CF-44E3-9099-C40C66FF867C}">
                  <a14:compatExt spid="_x0000_s18980"/>
                </a:ext>
                <a:ext uri="{FF2B5EF4-FFF2-40B4-BE49-F238E27FC236}">
                  <a16:creationId xmlns:a16="http://schemas.microsoft.com/office/drawing/2014/main" id="{00000000-0008-0000-0000-00002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981" name="Check Box 549" hidden="1">
              <a:extLst>
                <a:ext uri="{63B3BB69-23CF-44E3-9099-C40C66FF867C}">
                  <a14:compatExt spid="_x0000_s18981"/>
                </a:ext>
                <a:ext uri="{FF2B5EF4-FFF2-40B4-BE49-F238E27FC236}">
                  <a16:creationId xmlns:a16="http://schemas.microsoft.com/office/drawing/2014/main" id="{00000000-0008-0000-0000-00002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982" name="Check Box 550" hidden="1">
              <a:extLst>
                <a:ext uri="{63B3BB69-23CF-44E3-9099-C40C66FF867C}">
                  <a14:compatExt spid="_x0000_s18982"/>
                </a:ext>
                <a:ext uri="{FF2B5EF4-FFF2-40B4-BE49-F238E27FC236}">
                  <a16:creationId xmlns:a16="http://schemas.microsoft.com/office/drawing/2014/main" id="{00000000-0008-0000-0000-00002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983" name="Check Box 551" hidden="1">
              <a:extLst>
                <a:ext uri="{63B3BB69-23CF-44E3-9099-C40C66FF867C}">
                  <a14:compatExt spid="_x0000_s18983"/>
                </a:ext>
                <a:ext uri="{FF2B5EF4-FFF2-40B4-BE49-F238E27FC236}">
                  <a16:creationId xmlns:a16="http://schemas.microsoft.com/office/drawing/2014/main" id="{00000000-0008-0000-0000-00002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984" name="Check Box 552" hidden="1">
              <a:extLst>
                <a:ext uri="{63B3BB69-23CF-44E3-9099-C40C66FF867C}">
                  <a14:compatExt spid="_x0000_s18984"/>
                </a:ext>
                <a:ext uri="{FF2B5EF4-FFF2-40B4-BE49-F238E27FC236}">
                  <a16:creationId xmlns:a16="http://schemas.microsoft.com/office/drawing/2014/main" id="{00000000-0008-0000-0000-00002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985" name="Check Box 553" hidden="1">
              <a:extLst>
                <a:ext uri="{63B3BB69-23CF-44E3-9099-C40C66FF867C}">
                  <a14:compatExt spid="_x0000_s18985"/>
                </a:ext>
                <a:ext uri="{FF2B5EF4-FFF2-40B4-BE49-F238E27FC236}">
                  <a16:creationId xmlns:a16="http://schemas.microsoft.com/office/drawing/2014/main" id="{00000000-0008-0000-0000-00002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986" name="Check Box 554" hidden="1">
              <a:extLst>
                <a:ext uri="{63B3BB69-23CF-44E3-9099-C40C66FF867C}">
                  <a14:compatExt spid="_x0000_s18986"/>
                </a:ext>
                <a:ext uri="{FF2B5EF4-FFF2-40B4-BE49-F238E27FC236}">
                  <a16:creationId xmlns:a16="http://schemas.microsoft.com/office/drawing/2014/main" id="{00000000-0008-0000-0000-00002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987" name="Check Box 555" hidden="1">
              <a:extLst>
                <a:ext uri="{63B3BB69-23CF-44E3-9099-C40C66FF867C}">
                  <a14:compatExt spid="_x0000_s18987"/>
                </a:ext>
                <a:ext uri="{FF2B5EF4-FFF2-40B4-BE49-F238E27FC236}">
                  <a16:creationId xmlns:a16="http://schemas.microsoft.com/office/drawing/2014/main" id="{00000000-0008-0000-0000-00002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988" name="Check Box 556" hidden="1">
              <a:extLst>
                <a:ext uri="{63B3BB69-23CF-44E3-9099-C40C66FF867C}">
                  <a14:compatExt spid="_x0000_s18988"/>
                </a:ext>
                <a:ext uri="{FF2B5EF4-FFF2-40B4-BE49-F238E27FC236}">
                  <a16:creationId xmlns:a16="http://schemas.microsoft.com/office/drawing/2014/main" id="{00000000-0008-0000-0000-00002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8989" name="Check Box 557" hidden="1">
              <a:extLst>
                <a:ext uri="{63B3BB69-23CF-44E3-9099-C40C66FF867C}">
                  <a14:compatExt spid="_x0000_s18989"/>
                </a:ext>
                <a:ext uri="{FF2B5EF4-FFF2-40B4-BE49-F238E27FC236}">
                  <a16:creationId xmlns:a16="http://schemas.microsoft.com/office/drawing/2014/main" id="{00000000-0008-0000-0000-00002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8990" name="Check Box 558" hidden="1">
              <a:extLst>
                <a:ext uri="{63B3BB69-23CF-44E3-9099-C40C66FF867C}">
                  <a14:compatExt spid="_x0000_s18990"/>
                </a:ext>
                <a:ext uri="{FF2B5EF4-FFF2-40B4-BE49-F238E27FC236}">
                  <a16:creationId xmlns:a16="http://schemas.microsoft.com/office/drawing/2014/main" id="{00000000-0008-0000-0000-00002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8991" name="Check Box 559" hidden="1">
              <a:extLst>
                <a:ext uri="{63B3BB69-23CF-44E3-9099-C40C66FF867C}">
                  <a14:compatExt spid="_x0000_s18991"/>
                </a:ext>
                <a:ext uri="{FF2B5EF4-FFF2-40B4-BE49-F238E27FC236}">
                  <a16:creationId xmlns:a16="http://schemas.microsoft.com/office/drawing/2014/main" id="{00000000-0008-0000-0000-00002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8992" name="Check Box 560" hidden="1">
              <a:extLst>
                <a:ext uri="{63B3BB69-23CF-44E3-9099-C40C66FF867C}">
                  <a14:compatExt spid="_x0000_s18992"/>
                </a:ext>
                <a:ext uri="{FF2B5EF4-FFF2-40B4-BE49-F238E27FC236}">
                  <a16:creationId xmlns:a16="http://schemas.microsoft.com/office/drawing/2014/main" id="{00000000-0008-0000-0000-00003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8993" name="Check Box 561" hidden="1">
              <a:extLst>
                <a:ext uri="{63B3BB69-23CF-44E3-9099-C40C66FF867C}">
                  <a14:compatExt spid="_x0000_s18993"/>
                </a:ext>
                <a:ext uri="{FF2B5EF4-FFF2-40B4-BE49-F238E27FC236}">
                  <a16:creationId xmlns:a16="http://schemas.microsoft.com/office/drawing/2014/main" id="{00000000-0008-0000-0000-00003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8994" name="Check Box 562" hidden="1">
              <a:extLst>
                <a:ext uri="{63B3BB69-23CF-44E3-9099-C40C66FF867C}">
                  <a14:compatExt spid="_x0000_s18994"/>
                </a:ext>
                <a:ext uri="{FF2B5EF4-FFF2-40B4-BE49-F238E27FC236}">
                  <a16:creationId xmlns:a16="http://schemas.microsoft.com/office/drawing/2014/main" id="{00000000-0008-0000-0000-00003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8995" name="Check Box 563" hidden="1">
              <a:extLst>
                <a:ext uri="{63B3BB69-23CF-44E3-9099-C40C66FF867C}">
                  <a14:compatExt spid="_x0000_s18995"/>
                </a:ext>
                <a:ext uri="{FF2B5EF4-FFF2-40B4-BE49-F238E27FC236}">
                  <a16:creationId xmlns:a16="http://schemas.microsoft.com/office/drawing/2014/main" id="{00000000-0008-0000-0000-00003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8996" name="Check Box 564" hidden="1">
              <a:extLst>
                <a:ext uri="{63B3BB69-23CF-44E3-9099-C40C66FF867C}">
                  <a14:compatExt spid="_x0000_s18996"/>
                </a:ext>
                <a:ext uri="{FF2B5EF4-FFF2-40B4-BE49-F238E27FC236}">
                  <a16:creationId xmlns:a16="http://schemas.microsoft.com/office/drawing/2014/main" id="{00000000-0008-0000-0000-00003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8997" name="Check Box 565" hidden="1">
              <a:extLst>
                <a:ext uri="{63B3BB69-23CF-44E3-9099-C40C66FF867C}">
                  <a14:compatExt spid="_x0000_s18997"/>
                </a:ext>
                <a:ext uri="{FF2B5EF4-FFF2-40B4-BE49-F238E27FC236}">
                  <a16:creationId xmlns:a16="http://schemas.microsoft.com/office/drawing/2014/main" id="{00000000-0008-0000-0000-00003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8998" name="Check Box 566" hidden="1">
              <a:extLst>
                <a:ext uri="{63B3BB69-23CF-44E3-9099-C40C66FF867C}">
                  <a14:compatExt spid="_x0000_s18998"/>
                </a:ext>
                <a:ext uri="{FF2B5EF4-FFF2-40B4-BE49-F238E27FC236}">
                  <a16:creationId xmlns:a16="http://schemas.microsoft.com/office/drawing/2014/main" id="{00000000-0008-0000-0000-00003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8999" name="Check Box 567" hidden="1">
              <a:extLst>
                <a:ext uri="{63B3BB69-23CF-44E3-9099-C40C66FF867C}">
                  <a14:compatExt spid="_x0000_s18999"/>
                </a:ext>
                <a:ext uri="{FF2B5EF4-FFF2-40B4-BE49-F238E27FC236}">
                  <a16:creationId xmlns:a16="http://schemas.microsoft.com/office/drawing/2014/main" id="{00000000-0008-0000-0000-00003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000" name="Check Box 568" hidden="1">
              <a:extLst>
                <a:ext uri="{63B3BB69-23CF-44E3-9099-C40C66FF867C}">
                  <a14:compatExt spid="_x0000_s19000"/>
                </a:ext>
                <a:ext uri="{FF2B5EF4-FFF2-40B4-BE49-F238E27FC236}">
                  <a16:creationId xmlns:a16="http://schemas.microsoft.com/office/drawing/2014/main" id="{00000000-0008-0000-0000-00003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001" name="Check Box 569" hidden="1">
              <a:extLst>
                <a:ext uri="{63B3BB69-23CF-44E3-9099-C40C66FF867C}">
                  <a14:compatExt spid="_x0000_s19001"/>
                </a:ext>
                <a:ext uri="{FF2B5EF4-FFF2-40B4-BE49-F238E27FC236}">
                  <a16:creationId xmlns:a16="http://schemas.microsoft.com/office/drawing/2014/main" id="{00000000-0008-0000-0000-00003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002" name="Check Box 570" hidden="1">
              <a:extLst>
                <a:ext uri="{63B3BB69-23CF-44E3-9099-C40C66FF867C}">
                  <a14:compatExt spid="_x0000_s19002"/>
                </a:ext>
                <a:ext uri="{FF2B5EF4-FFF2-40B4-BE49-F238E27FC236}">
                  <a16:creationId xmlns:a16="http://schemas.microsoft.com/office/drawing/2014/main" id="{00000000-0008-0000-0000-00003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003" name="Check Box 571" hidden="1">
              <a:extLst>
                <a:ext uri="{63B3BB69-23CF-44E3-9099-C40C66FF867C}">
                  <a14:compatExt spid="_x0000_s19003"/>
                </a:ext>
                <a:ext uri="{FF2B5EF4-FFF2-40B4-BE49-F238E27FC236}">
                  <a16:creationId xmlns:a16="http://schemas.microsoft.com/office/drawing/2014/main" id="{00000000-0008-0000-0000-00003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004" name="Check Box 572" hidden="1">
              <a:extLst>
                <a:ext uri="{63B3BB69-23CF-44E3-9099-C40C66FF867C}">
                  <a14:compatExt spid="_x0000_s19004"/>
                </a:ext>
                <a:ext uri="{FF2B5EF4-FFF2-40B4-BE49-F238E27FC236}">
                  <a16:creationId xmlns:a16="http://schemas.microsoft.com/office/drawing/2014/main" id="{00000000-0008-0000-0000-00003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005" name="Check Box 573" hidden="1">
              <a:extLst>
                <a:ext uri="{63B3BB69-23CF-44E3-9099-C40C66FF867C}">
                  <a14:compatExt spid="_x0000_s19005"/>
                </a:ext>
                <a:ext uri="{FF2B5EF4-FFF2-40B4-BE49-F238E27FC236}">
                  <a16:creationId xmlns:a16="http://schemas.microsoft.com/office/drawing/2014/main" id="{00000000-0008-0000-0000-00003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006" name="Check Box 574" hidden="1">
              <a:extLst>
                <a:ext uri="{63B3BB69-23CF-44E3-9099-C40C66FF867C}">
                  <a14:compatExt spid="_x0000_s19006"/>
                </a:ext>
                <a:ext uri="{FF2B5EF4-FFF2-40B4-BE49-F238E27FC236}">
                  <a16:creationId xmlns:a16="http://schemas.microsoft.com/office/drawing/2014/main" id="{00000000-0008-0000-0000-00003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007" name="Check Box 575" hidden="1">
              <a:extLst>
                <a:ext uri="{63B3BB69-23CF-44E3-9099-C40C66FF867C}">
                  <a14:compatExt spid="_x0000_s19007"/>
                </a:ext>
                <a:ext uri="{FF2B5EF4-FFF2-40B4-BE49-F238E27FC236}">
                  <a16:creationId xmlns:a16="http://schemas.microsoft.com/office/drawing/2014/main" id="{00000000-0008-0000-0000-00003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008" name="Check Box 576" hidden="1">
              <a:extLst>
                <a:ext uri="{63B3BB69-23CF-44E3-9099-C40C66FF867C}">
                  <a14:compatExt spid="_x0000_s19008"/>
                </a:ext>
                <a:ext uri="{FF2B5EF4-FFF2-40B4-BE49-F238E27FC236}">
                  <a16:creationId xmlns:a16="http://schemas.microsoft.com/office/drawing/2014/main" id="{00000000-0008-0000-0000-00004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009" name="Check Box 577" hidden="1">
              <a:extLst>
                <a:ext uri="{63B3BB69-23CF-44E3-9099-C40C66FF867C}">
                  <a14:compatExt spid="_x0000_s19009"/>
                </a:ext>
                <a:ext uri="{FF2B5EF4-FFF2-40B4-BE49-F238E27FC236}">
                  <a16:creationId xmlns:a16="http://schemas.microsoft.com/office/drawing/2014/main" id="{00000000-0008-0000-0000-00004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010" name="Check Box 578" hidden="1">
              <a:extLst>
                <a:ext uri="{63B3BB69-23CF-44E3-9099-C40C66FF867C}">
                  <a14:compatExt spid="_x0000_s19010"/>
                </a:ext>
                <a:ext uri="{FF2B5EF4-FFF2-40B4-BE49-F238E27FC236}">
                  <a16:creationId xmlns:a16="http://schemas.microsoft.com/office/drawing/2014/main" id="{00000000-0008-0000-0000-00004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011" name="Check Box 579" hidden="1">
              <a:extLst>
                <a:ext uri="{63B3BB69-23CF-44E3-9099-C40C66FF867C}">
                  <a14:compatExt spid="_x0000_s19011"/>
                </a:ext>
                <a:ext uri="{FF2B5EF4-FFF2-40B4-BE49-F238E27FC236}">
                  <a16:creationId xmlns:a16="http://schemas.microsoft.com/office/drawing/2014/main" id="{00000000-0008-0000-0000-00004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012" name="Check Box 580" hidden="1">
              <a:extLst>
                <a:ext uri="{63B3BB69-23CF-44E3-9099-C40C66FF867C}">
                  <a14:compatExt spid="_x0000_s19012"/>
                </a:ext>
                <a:ext uri="{FF2B5EF4-FFF2-40B4-BE49-F238E27FC236}">
                  <a16:creationId xmlns:a16="http://schemas.microsoft.com/office/drawing/2014/main" id="{00000000-0008-0000-0000-00004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013" name="Check Box 581" hidden="1">
              <a:extLst>
                <a:ext uri="{63B3BB69-23CF-44E3-9099-C40C66FF867C}">
                  <a14:compatExt spid="_x0000_s19013"/>
                </a:ext>
                <a:ext uri="{FF2B5EF4-FFF2-40B4-BE49-F238E27FC236}">
                  <a16:creationId xmlns:a16="http://schemas.microsoft.com/office/drawing/2014/main" id="{00000000-0008-0000-0000-00004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014" name="Check Box 582" hidden="1">
              <a:extLst>
                <a:ext uri="{63B3BB69-23CF-44E3-9099-C40C66FF867C}">
                  <a14:compatExt spid="_x0000_s19014"/>
                </a:ext>
                <a:ext uri="{FF2B5EF4-FFF2-40B4-BE49-F238E27FC236}">
                  <a16:creationId xmlns:a16="http://schemas.microsoft.com/office/drawing/2014/main" id="{00000000-0008-0000-0000-00004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015" name="Check Box 583" hidden="1">
              <a:extLst>
                <a:ext uri="{63B3BB69-23CF-44E3-9099-C40C66FF867C}">
                  <a14:compatExt spid="_x0000_s19015"/>
                </a:ext>
                <a:ext uri="{FF2B5EF4-FFF2-40B4-BE49-F238E27FC236}">
                  <a16:creationId xmlns:a16="http://schemas.microsoft.com/office/drawing/2014/main" id="{00000000-0008-0000-0000-00004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016" name="Check Box 584" hidden="1">
              <a:extLst>
                <a:ext uri="{63B3BB69-23CF-44E3-9099-C40C66FF867C}">
                  <a14:compatExt spid="_x0000_s19016"/>
                </a:ext>
                <a:ext uri="{FF2B5EF4-FFF2-40B4-BE49-F238E27FC236}">
                  <a16:creationId xmlns:a16="http://schemas.microsoft.com/office/drawing/2014/main" id="{00000000-0008-0000-0000-00004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017" name="Check Box 585" hidden="1">
              <a:extLst>
                <a:ext uri="{63B3BB69-23CF-44E3-9099-C40C66FF867C}">
                  <a14:compatExt spid="_x0000_s19017"/>
                </a:ext>
                <a:ext uri="{FF2B5EF4-FFF2-40B4-BE49-F238E27FC236}">
                  <a16:creationId xmlns:a16="http://schemas.microsoft.com/office/drawing/2014/main" id="{00000000-0008-0000-0000-00004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018" name="Check Box 586" hidden="1">
              <a:extLst>
                <a:ext uri="{63B3BB69-23CF-44E3-9099-C40C66FF867C}">
                  <a14:compatExt spid="_x0000_s19018"/>
                </a:ext>
                <a:ext uri="{FF2B5EF4-FFF2-40B4-BE49-F238E27FC236}">
                  <a16:creationId xmlns:a16="http://schemas.microsoft.com/office/drawing/2014/main" id="{00000000-0008-0000-0000-00004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019" name="Check Box 587" hidden="1">
              <a:extLst>
                <a:ext uri="{63B3BB69-23CF-44E3-9099-C40C66FF867C}">
                  <a14:compatExt spid="_x0000_s19019"/>
                </a:ext>
                <a:ext uri="{FF2B5EF4-FFF2-40B4-BE49-F238E27FC236}">
                  <a16:creationId xmlns:a16="http://schemas.microsoft.com/office/drawing/2014/main" id="{00000000-0008-0000-0000-00004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020" name="Check Box 588" hidden="1">
              <a:extLst>
                <a:ext uri="{63B3BB69-23CF-44E3-9099-C40C66FF867C}">
                  <a14:compatExt spid="_x0000_s19020"/>
                </a:ext>
                <a:ext uri="{FF2B5EF4-FFF2-40B4-BE49-F238E27FC236}">
                  <a16:creationId xmlns:a16="http://schemas.microsoft.com/office/drawing/2014/main" id="{00000000-0008-0000-0000-00004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021" name="Check Box 589" hidden="1">
              <a:extLst>
                <a:ext uri="{63B3BB69-23CF-44E3-9099-C40C66FF867C}">
                  <a14:compatExt spid="_x0000_s19021"/>
                </a:ext>
                <a:ext uri="{FF2B5EF4-FFF2-40B4-BE49-F238E27FC236}">
                  <a16:creationId xmlns:a16="http://schemas.microsoft.com/office/drawing/2014/main" id="{00000000-0008-0000-0000-00004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022" name="Check Box 590" hidden="1">
              <a:extLst>
                <a:ext uri="{63B3BB69-23CF-44E3-9099-C40C66FF867C}">
                  <a14:compatExt spid="_x0000_s19022"/>
                </a:ext>
                <a:ext uri="{FF2B5EF4-FFF2-40B4-BE49-F238E27FC236}">
                  <a16:creationId xmlns:a16="http://schemas.microsoft.com/office/drawing/2014/main" id="{00000000-0008-0000-0000-00004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023" name="Check Box 591" hidden="1">
              <a:extLst>
                <a:ext uri="{63B3BB69-23CF-44E3-9099-C40C66FF867C}">
                  <a14:compatExt spid="_x0000_s19023"/>
                </a:ext>
                <a:ext uri="{FF2B5EF4-FFF2-40B4-BE49-F238E27FC236}">
                  <a16:creationId xmlns:a16="http://schemas.microsoft.com/office/drawing/2014/main" id="{00000000-0008-0000-0000-00004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024" name="Check Box 592" hidden="1">
              <a:extLst>
                <a:ext uri="{63B3BB69-23CF-44E3-9099-C40C66FF867C}">
                  <a14:compatExt spid="_x0000_s19024"/>
                </a:ext>
                <a:ext uri="{FF2B5EF4-FFF2-40B4-BE49-F238E27FC236}">
                  <a16:creationId xmlns:a16="http://schemas.microsoft.com/office/drawing/2014/main" id="{00000000-0008-0000-0000-00005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025" name="Check Box 593" hidden="1">
              <a:extLst>
                <a:ext uri="{63B3BB69-23CF-44E3-9099-C40C66FF867C}">
                  <a14:compatExt spid="_x0000_s19025"/>
                </a:ext>
                <a:ext uri="{FF2B5EF4-FFF2-40B4-BE49-F238E27FC236}">
                  <a16:creationId xmlns:a16="http://schemas.microsoft.com/office/drawing/2014/main" id="{00000000-0008-0000-0000-00005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026" name="Check Box 594" hidden="1">
              <a:extLst>
                <a:ext uri="{63B3BB69-23CF-44E3-9099-C40C66FF867C}">
                  <a14:compatExt spid="_x0000_s19026"/>
                </a:ext>
                <a:ext uri="{FF2B5EF4-FFF2-40B4-BE49-F238E27FC236}">
                  <a16:creationId xmlns:a16="http://schemas.microsoft.com/office/drawing/2014/main" id="{00000000-0008-0000-0000-00005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027" name="Check Box 595" hidden="1">
              <a:extLst>
                <a:ext uri="{63B3BB69-23CF-44E3-9099-C40C66FF867C}">
                  <a14:compatExt spid="_x0000_s19027"/>
                </a:ext>
                <a:ext uri="{FF2B5EF4-FFF2-40B4-BE49-F238E27FC236}">
                  <a16:creationId xmlns:a16="http://schemas.microsoft.com/office/drawing/2014/main" id="{00000000-0008-0000-0000-00005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028" name="Check Box 596" hidden="1">
              <a:extLst>
                <a:ext uri="{63B3BB69-23CF-44E3-9099-C40C66FF867C}">
                  <a14:compatExt spid="_x0000_s19028"/>
                </a:ext>
                <a:ext uri="{FF2B5EF4-FFF2-40B4-BE49-F238E27FC236}">
                  <a16:creationId xmlns:a16="http://schemas.microsoft.com/office/drawing/2014/main" id="{00000000-0008-0000-0000-00005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029" name="Check Box 597" hidden="1">
              <a:extLst>
                <a:ext uri="{63B3BB69-23CF-44E3-9099-C40C66FF867C}">
                  <a14:compatExt spid="_x0000_s19029"/>
                </a:ext>
                <a:ext uri="{FF2B5EF4-FFF2-40B4-BE49-F238E27FC236}">
                  <a16:creationId xmlns:a16="http://schemas.microsoft.com/office/drawing/2014/main" id="{00000000-0008-0000-0000-00005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030" name="Check Box 598" hidden="1">
              <a:extLst>
                <a:ext uri="{63B3BB69-23CF-44E3-9099-C40C66FF867C}">
                  <a14:compatExt spid="_x0000_s19030"/>
                </a:ext>
                <a:ext uri="{FF2B5EF4-FFF2-40B4-BE49-F238E27FC236}">
                  <a16:creationId xmlns:a16="http://schemas.microsoft.com/office/drawing/2014/main" id="{00000000-0008-0000-0000-00005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031" name="Check Box 599" hidden="1">
              <a:extLst>
                <a:ext uri="{63B3BB69-23CF-44E3-9099-C40C66FF867C}">
                  <a14:compatExt spid="_x0000_s19031"/>
                </a:ext>
                <a:ext uri="{FF2B5EF4-FFF2-40B4-BE49-F238E27FC236}">
                  <a16:creationId xmlns:a16="http://schemas.microsoft.com/office/drawing/2014/main" id="{00000000-0008-0000-0000-00005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032" name="Check Box 600" hidden="1">
              <a:extLst>
                <a:ext uri="{63B3BB69-23CF-44E3-9099-C40C66FF867C}">
                  <a14:compatExt spid="_x0000_s19032"/>
                </a:ext>
                <a:ext uri="{FF2B5EF4-FFF2-40B4-BE49-F238E27FC236}">
                  <a16:creationId xmlns:a16="http://schemas.microsoft.com/office/drawing/2014/main" id="{00000000-0008-0000-0000-00005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033" name="Check Box 601" hidden="1">
              <a:extLst>
                <a:ext uri="{63B3BB69-23CF-44E3-9099-C40C66FF867C}">
                  <a14:compatExt spid="_x0000_s19033"/>
                </a:ext>
                <a:ext uri="{FF2B5EF4-FFF2-40B4-BE49-F238E27FC236}">
                  <a16:creationId xmlns:a16="http://schemas.microsoft.com/office/drawing/2014/main" id="{00000000-0008-0000-0000-00005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034" name="Check Box 602" hidden="1">
              <a:extLst>
                <a:ext uri="{63B3BB69-23CF-44E3-9099-C40C66FF867C}">
                  <a14:compatExt spid="_x0000_s19034"/>
                </a:ext>
                <a:ext uri="{FF2B5EF4-FFF2-40B4-BE49-F238E27FC236}">
                  <a16:creationId xmlns:a16="http://schemas.microsoft.com/office/drawing/2014/main" id="{00000000-0008-0000-0000-00005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035" name="Check Box 603" hidden="1">
              <a:extLst>
                <a:ext uri="{63B3BB69-23CF-44E3-9099-C40C66FF867C}">
                  <a14:compatExt spid="_x0000_s19035"/>
                </a:ext>
                <a:ext uri="{FF2B5EF4-FFF2-40B4-BE49-F238E27FC236}">
                  <a16:creationId xmlns:a16="http://schemas.microsoft.com/office/drawing/2014/main" id="{00000000-0008-0000-0000-00005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036" name="Check Box 604" hidden="1">
              <a:extLst>
                <a:ext uri="{63B3BB69-23CF-44E3-9099-C40C66FF867C}">
                  <a14:compatExt spid="_x0000_s19036"/>
                </a:ext>
                <a:ext uri="{FF2B5EF4-FFF2-40B4-BE49-F238E27FC236}">
                  <a16:creationId xmlns:a16="http://schemas.microsoft.com/office/drawing/2014/main" id="{00000000-0008-0000-0000-00005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037" name="Check Box 605" hidden="1">
              <a:extLst>
                <a:ext uri="{63B3BB69-23CF-44E3-9099-C40C66FF867C}">
                  <a14:compatExt spid="_x0000_s19037"/>
                </a:ext>
                <a:ext uri="{FF2B5EF4-FFF2-40B4-BE49-F238E27FC236}">
                  <a16:creationId xmlns:a16="http://schemas.microsoft.com/office/drawing/2014/main" id="{00000000-0008-0000-0000-00005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038" name="Check Box 606" hidden="1">
              <a:extLst>
                <a:ext uri="{63B3BB69-23CF-44E3-9099-C40C66FF867C}">
                  <a14:compatExt spid="_x0000_s19038"/>
                </a:ext>
                <a:ext uri="{FF2B5EF4-FFF2-40B4-BE49-F238E27FC236}">
                  <a16:creationId xmlns:a16="http://schemas.microsoft.com/office/drawing/2014/main" id="{00000000-0008-0000-0000-00005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039" name="Check Box 607" hidden="1">
              <a:extLst>
                <a:ext uri="{63B3BB69-23CF-44E3-9099-C40C66FF867C}">
                  <a14:compatExt spid="_x0000_s19039"/>
                </a:ext>
                <a:ext uri="{FF2B5EF4-FFF2-40B4-BE49-F238E27FC236}">
                  <a16:creationId xmlns:a16="http://schemas.microsoft.com/office/drawing/2014/main" id="{00000000-0008-0000-0000-00005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040" name="Check Box 608" hidden="1">
              <a:extLst>
                <a:ext uri="{63B3BB69-23CF-44E3-9099-C40C66FF867C}">
                  <a14:compatExt spid="_x0000_s19040"/>
                </a:ext>
                <a:ext uri="{FF2B5EF4-FFF2-40B4-BE49-F238E27FC236}">
                  <a16:creationId xmlns:a16="http://schemas.microsoft.com/office/drawing/2014/main" id="{00000000-0008-0000-0000-00006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041" name="Check Box 609" hidden="1">
              <a:extLst>
                <a:ext uri="{63B3BB69-23CF-44E3-9099-C40C66FF867C}">
                  <a14:compatExt spid="_x0000_s19041"/>
                </a:ext>
                <a:ext uri="{FF2B5EF4-FFF2-40B4-BE49-F238E27FC236}">
                  <a16:creationId xmlns:a16="http://schemas.microsoft.com/office/drawing/2014/main" id="{00000000-0008-0000-0000-00006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042" name="Check Box 610" hidden="1">
              <a:extLst>
                <a:ext uri="{63B3BB69-23CF-44E3-9099-C40C66FF867C}">
                  <a14:compatExt spid="_x0000_s19042"/>
                </a:ext>
                <a:ext uri="{FF2B5EF4-FFF2-40B4-BE49-F238E27FC236}">
                  <a16:creationId xmlns:a16="http://schemas.microsoft.com/office/drawing/2014/main" id="{00000000-0008-0000-0000-00006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043" name="Check Box 611" hidden="1">
              <a:extLst>
                <a:ext uri="{63B3BB69-23CF-44E3-9099-C40C66FF867C}">
                  <a14:compatExt spid="_x0000_s19043"/>
                </a:ext>
                <a:ext uri="{FF2B5EF4-FFF2-40B4-BE49-F238E27FC236}">
                  <a16:creationId xmlns:a16="http://schemas.microsoft.com/office/drawing/2014/main" id="{00000000-0008-0000-0000-00006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044" name="Check Box 612" hidden="1">
              <a:extLst>
                <a:ext uri="{63B3BB69-23CF-44E3-9099-C40C66FF867C}">
                  <a14:compatExt spid="_x0000_s19044"/>
                </a:ext>
                <a:ext uri="{FF2B5EF4-FFF2-40B4-BE49-F238E27FC236}">
                  <a16:creationId xmlns:a16="http://schemas.microsoft.com/office/drawing/2014/main" id="{00000000-0008-0000-0000-00006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045" name="Check Box 613" hidden="1">
              <a:extLst>
                <a:ext uri="{63B3BB69-23CF-44E3-9099-C40C66FF867C}">
                  <a14:compatExt spid="_x0000_s19045"/>
                </a:ext>
                <a:ext uri="{FF2B5EF4-FFF2-40B4-BE49-F238E27FC236}">
                  <a16:creationId xmlns:a16="http://schemas.microsoft.com/office/drawing/2014/main" id="{00000000-0008-0000-0000-00006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046" name="Check Box 614" hidden="1">
              <a:extLst>
                <a:ext uri="{63B3BB69-23CF-44E3-9099-C40C66FF867C}">
                  <a14:compatExt spid="_x0000_s19046"/>
                </a:ext>
                <a:ext uri="{FF2B5EF4-FFF2-40B4-BE49-F238E27FC236}">
                  <a16:creationId xmlns:a16="http://schemas.microsoft.com/office/drawing/2014/main" id="{00000000-0008-0000-0000-00006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047" name="Check Box 615" hidden="1">
              <a:extLst>
                <a:ext uri="{63B3BB69-23CF-44E3-9099-C40C66FF867C}">
                  <a14:compatExt spid="_x0000_s19047"/>
                </a:ext>
                <a:ext uri="{FF2B5EF4-FFF2-40B4-BE49-F238E27FC236}">
                  <a16:creationId xmlns:a16="http://schemas.microsoft.com/office/drawing/2014/main" id="{00000000-0008-0000-0000-00006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048" name="Check Box 616" hidden="1">
              <a:extLst>
                <a:ext uri="{63B3BB69-23CF-44E3-9099-C40C66FF867C}">
                  <a14:compatExt spid="_x0000_s19048"/>
                </a:ext>
                <a:ext uri="{FF2B5EF4-FFF2-40B4-BE49-F238E27FC236}">
                  <a16:creationId xmlns:a16="http://schemas.microsoft.com/office/drawing/2014/main" id="{00000000-0008-0000-0000-00006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049" name="Check Box 617" hidden="1">
              <a:extLst>
                <a:ext uri="{63B3BB69-23CF-44E3-9099-C40C66FF867C}">
                  <a14:compatExt spid="_x0000_s19049"/>
                </a:ext>
                <a:ext uri="{FF2B5EF4-FFF2-40B4-BE49-F238E27FC236}">
                  <a16:creationId xmlns:a16="http://schemas.microsoft.com/office/drawing/2014/main" id="{00000000-0008-0000-0000-00006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050" name="Check Box 618" hidden="1">
              <a:extLst>
                <a:ext uri="{63B3BB69-23CF-44E3-9099-C40C66FF867C}">
                  <a14:compatExt spid="_x0000_s19050"/>
                </a:ext>
                <a:ext uri="{FF2B5EF4-FFF2-40B4-BE49-F238E27FC236}">
                  <a16:creationId xmlns:a16="http://schemas.microsoft.com/office/drawing/2014/main" id="{00000000-0008-0000-0000-00006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051" name="Check Box 619" hidden="1">
              <a:extLst>
                <a:ext uri="{63B3BB69-23CF-44E3-9099-C40C66FF867C}">
                  <a14:compatExt spid="_x0000_s19051"/>
                </a:ext>
                <a:ext uri="{FF2B5EF4-FFF2-40B4-BE49-F238E27FC236}">
                  <a16:creationId xmlns:a16="http://schemas.microsoft.com/office/drawing/2014/main" id="{00000000-0008-0000-0000-00006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052" name="Check Box 620" hidden="1">
              <a:extLst>
                <a:ext uri="{63B3BB69-23CF-44E3-9099-C40C66FF867C}">
                  <a14:compatExt spid="_x0000_s19052"/>
                </a:ext>
                <a:ext uri="{FF2B5EF4-FFF2-40B4-BE49-F238E27FC236}">
                  <a16:creationId xmlns:a16="http://schemas.microsoft.com/office/drawing/2014/main" id="{00000000-0008-0000-0000-00006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053" name="Check Box 621" hidden="1">
              <a:extLst>
                <a:ext uri="{63B3BB69-23CF-44E3-9099-C40C66FF867C}">
                  <a14:compatExt spid="_x0000_s19053"/>
                </a:ext>
                <a:ext uri="{FF2B5EF4-FFF2-40B4-BE49-F238E27FC236}">
                  <a16:creationId xmlns:a16="http://schemas.microsoft.com/office/drawing/2014/main" id="{00000000-0008-0000-0000-00006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054" name="Check Box 622" hidden="1">
              <a:extLst>
                <a:ext uri="{63B3BB69-23CF-44E3-9099-C40C66FF867C}">
                  <a14:compatExt spid="_x0000_s19054"/>
                </a:ext>
                <a:ext uri="{FF2B5EF4-FFF2-40B4-BE49-F238E27FC236}">
                  <a16:creationId xmlns:a16="http://schemas.microsoft.com/office/drawing/2014/main" id="{00000000-0008-0000-0000-00006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055" name="Check Box 623" hidden="1">
              <a:extLst>
                <a:ext uri="{63B3BB69-23CF-44E3-9099-C40C66FF867C}">
                  <a14:compatExt spid="_x0000_s19055"/>
                </a:ext>
                <a:ext uri="{FF2B5EF4-FFF2-40B4-BE49-F238E27FC236}">
                  <a16:creationId xmlns:a16="http://schemas.microsoft.com/office/drawing/2014/main" id="{00000000-0008-0000-0000-00006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056" name="Check Box 624" hidden="1">
              <a:extLst>
                <a:ext uri="{63B3BB69-23CF-44E3-9099-C40C66FF867C}">
                  <a14:compatExt spid="_x0000_s19056"/>
                </a:ext>
                <a:ext uri="{FF2B5EF4-FFF2-40B4-BE49-F238E27FC236}">
                  <a16:creationId xmlns:a16="http://schemas.microsoft.com/office/drawing/2014/main" id="{00000000-0008-0000-0000-00007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057" name="Check Box 625" hidden="1">
              <a:extLst>
                <a:ext uri="{63B3BB69-23CF-44E3-9099-C40C66FF867C}">
                  <a14:compatExt spid="_x0000_s19057"/>
                </a:ext>
                <a:ext uri="{FF2B5EF4-FFF2-40B4-BE49-F238E27FC236}">
                  <a16:creationId xmlns:a16="http://schemas.microsoft.com/office/drawing/2014/main" id="{00000000-0008-0000-0000-00007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058" name="Check Box 626" hidden="1">
              <a:extLst>
                <a:ext uri="{63B3BB69-23CF-44E3-9099-C40C66FF867C}">
                  <a14:compatExt spid="_x0000_s19058"/>
                </a:ext>
                <a:ext uri="{FF2B5EF4-FFF2-40B4-BE49-F238E27FC236}">
                  <a16:creationId xmlns:a16="http://schemas.microsoft.com/office/drawing/2014/main" id="{00000000-0008-0000-0000-00007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059" name="Check Box 627" hidden="1">
              <a:extLst>
                <a:ext uri="{63B3BB69-23CF-44E3-9099-C40C66FF867C}">
                  <a14:compatExt spid="_x0000_s19059"/>
                </a:ext>
                <a:ext uri="{FF2B5EF4-FFF2-40B4-BE49-F238E27FC236}">
                  <a16:creationId xmlns:a16="http://schemas.microsoft.com/office/drawing/2014/main" id="{00000000-0008-0000-0000-00007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060" name="Check Box 628" hidden="1">
              <a:extLst>
                <a:ext uri="{63B3BB69-23CF-44E3-9099-C40C66FF867C}">
                  <a14:compatExt spid="_x0000_s19060"/>
                </a:ext>
                <a:ext uri="{FF2B5EF4-FFF2-40B4-BE49-F238E27FC236}">
                  <a16:creationId xmlns:a16="http://schemas.microsoft.com/office/drawing/2014/main" id="{00000000-0008-0000-0000-00007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061" name="Check Box 629" hidden="1">
              <a:extLst>
                <a:ext uri="{63B3BB69-23CF-44E3-9099-C40C66FF867C}">
                  <a14:compatExt spid="_x0000_s19061"/>
                </a:ext>
                <a:ext uri="{FF2B5EF4-FFF2-40B4-BE49-F238E27FC236}">
                  <a16:creationId xmlns:a16="http://schemas.microsoft.com/office/drawing/2014/main" id="{00000000-0008-0000-0000-00007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062" name="Check Box 630" hidden="1">
              <a:extLst>
                <a:ext uri="{63B3BB69-23CF-44E3-9099-C40C66FF867C}">
                  <a14:compatExt spid="_x0000_s19062"/>
                </a:ext>
                <a:ext uri="{FF2B5EF4-FFF2-40B4-BE49-F238E27FC236}">
                  <a16:creationId xmlns:a16="http://schemas.microsoft.com/office/drawing/2014/main" id="{00000000-0008-0000-0000-00007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063" name="Check Box 631" hidden="1">
              <a:extLst>
                <a:ext uri="{63B3BB69-23CF-44E3-9099-C40C66FF867C}">
                  <a14:compatExt spid="_x0000_s19063"/>
                </a:ext>
                <a:ext uri="{FF2B5EF4-FFF2-40B4-BE49-F238E27FC236}">
                  <a16:creationId xmlns:a16="http://schemas.microsoft.com/office/drawing/2014/main" id="{00000000-0008-0000-0000-00007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064" name="Check Box 632" hidden="1">
              <a:extLst>
                <a:ext uri="{63B3BB69-23CF-44E3-9099-C40C66FF867C}">
                  <a14:compatExt spid="_x0000_s19064"/>
                </a:ext>
                <a:ext uri="{FF2B5EF4-FFF2-40B4-BE49-F238E27FC236}">
                  <a16:creationId xmlns:a16="http://schemas.microsoft.com/office/drawing/2014/main" id="{00000000-0008-0000-0000-00007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065" name="Check Box 633" hidden="1">
              <a:extLst>
                <a:ext uri="{63B3BB69-23CF-44E3-9099-C40C66FF867C}">
                  <a14:compatExt spid="_x0000_s19065"/>
                </a:ext>
                <a:ext uri="{FF2B5EF4-FFF2-40B4-BE49-F238E27FC236}">
                  <a16:creationId xmlns:a16="http://schemas.microsoft.com/office/drawing/2014/main" id="{00000000-0008-0000-0000-00007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066" name="Check Box 634" hidden="1">
              <a:extLst>
                <a:ext uri="{63B3BB69-23CF-44E3-9099-C40C66FF867C}">
                  <a14:compatExt spid="_x0000_s19066"/>
                </a:ext>
                <a:ext uri="{FF2B5EF4-FFF2-40B4-BE49-F238E27FC236}">
                  <a16:creationId xmlns:a16="http://schemas.microsoft.com/office/drawing/2014/main" id="{00000000-0008-0000-0000-00007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067" name="Check Box 635" hidden="1">
              <a:extLst>
                <a:ext uri="{63B3BB69-23CF-44E3-9099-C40C66FF867C}">
                  <a14:compatExt spid="_x0000_s19067"/>
                </a:ext>
                <a:ext uri="{FF2B5EF4-FFF2-40B4-BE49-F238E27FC236}">
                  <a16:creationId xmlns:a16="http://schemas.microsoft.com/office/drawing/2014/main" id="{00000000-0008-0000-0000-00007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068" name="Check Box 636" hidden="1">
              <a:extLst>
                <a:ext uri="{63B3BB69-23CF-44E3-9099-C40C66FF867C}">
                  <a14:compatExt spid="_x0000_s19068"/>
                </a:ext>
                <a:ext uri="{FF2B5EF4-FFF2-40B4-BE49-F238E27FC236}">
                  <a16:creationId xmlns:a16="http://schemas.microsoft.com/office/drawing/2014/main" id="{00000000-0008-0000-0000-00007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069" name="Check Box 637" hidden="1">
              <a:extLst>
                <a:ext uri="{63B3BB69-23CF-44E3-9099-C40C66FF867C}">
                  <a14:compatExt spid="_x0000_s19069"/>
                </a:ext>
                <a:ext uri="{FF2B5EF4-FFF2-40B4-BE49-F238E27FC236}">
                  <a16:creationId xmlns:a16="http://schemas.microsoft.com/office/drawing/2014/main" id="{00000000-0008-0000-0000-00007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070" name="Check Box 638" hidden="1">
              <a:extLst>
                <a:ext uri="{63B3BB69-23CF-44E3-9099-C40C66FF867C}">
                  <a14:compatExt spid="_x0000_s19070"/>
                </a:ext>
                <a:ext uri="{FF2B5EF4-FFF2-40B4-BE49-F238E27FC236}">
                  <a16:creationId xmlns:a16="http://schemas.microsoft.com/office/drawing/2014/main" id="{00000000-0008-0000-0000-00007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071" name="Check Box 639" hidden="1">
              <a:extLst>
                <a:ext uri="{63B3BB69-23CF-44E3-9099-C40C66FF867C}">
                  <a14:compatExt spid="_x0000_s19071"/>
                </a:ext>
                <a:ext uri="{FF2B5EF4-FFF2-40B4-BE49-F238E27FC236}">
                  <a16:creationId xmlns:a16="http://schemas.microsoft.com/office/drawing/2014/main" id="{00000000-0008-0000-0000-00007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072" name="Check Box 640" hidden="1">
              <a:extLst>
                <a:ext uri="{63B3BB69-23CF-44E3-9099-C40C66FF867C}">
                  <a14:compatExt spid="_x0000_s19072"/>
                </a:ext>
                <a:ext uri="{FF2B5EF4-FFF2-40B4-BE49-F238E27FC236}">
                  <a16:creationId xmlns:a16="http://schemas.microsoft.com/office/drawing/2014/main" id="{00000000-0008-0000-0000-00008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073" name="Check Box 641" hidden="1">
              <a:extLst>
                <a:ext uri="{63B3BB69-23CF-44E3-9099-C40C66FF867C}">
                  <a14:compatExt spid="_x0000_s19073"/>
                </a:ext>
                <a:ext uri="{FF2B5EF4-FFF2-40B4-BE49-F238E27FC236}">
                  <a16:creationId xmlns:a16="http://schemas.microsoft.com/office/drawing/2014/main" id="{00000000-0008-0000-0000-00008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074" name="Check Box 642" hidden="1">
              <a:extLst>
                <a:ext uri="{63B3BB69-23CF-44E3-9099-C40C66FF867C}">
                  <a14:compatExt spid="_x0000_s19074"/>
                </a:ext>
                <a:ext uri="{FF2B5EF4-FFF2-40B4-BE49-F238E27FC236}">
                  <a16:creationId xmlns:a16="http://schemas.microsoft.com/office/drawing/2014/main" id="{00000000-0008-0000-0000-00008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075" name="Check Box 643" hidden="1">
              <a:extLst>
                <a:ext uri="{63B3BB69-23CF-44E3-9099-C40C66FF867C}">
                  <a14:compatExt spid="_x0000_s19075"/>
                </a:ext>
                <a:ext uri="{FF2B5EF4-FFF2-40B4-BE49-F238E27FC236}">
                  <a16:creationId xmlns:a16="http://schemas.microsoft.com/office/drawing/2014/main" id="{00000000-0008-0000-0000-00008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076" name="Check Box 644" hidden="1">
              <a:extLst>
                <a:ext uri="{63B3BB69-23CF-44E3-9099-C40C66FF867C}">
                  <a14:compatExt spid="_x0000_s19076"/>
                </a:ext>
                <a:ext uri="{FF2B5EF4-FFF2-40B4-BE49-F238E27FC236}">
                  <a16:creationId xmlns:a16="http://schemas.microsoft.com/office/drawing/2014/main" id="{00000000-0008-0000-0000-00008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077" name="Check Box 645" hidden="1">
              <a:extLst>
                <a:ext uri="{63B3BB69-23CF-44E3-9099-C40C66FF867C}">
                  <a14:compatExt spid="_x0000_s19077"/>
                </a:ext>
                <a:ext uri="{FF2B5EF4-FFF2-40B4-BE49-F238E27FC236}">
                  <a16:creationId xmlns:a16="http://schemas.microsoft.com/office/drawing/2014/main" id="{00000000-0008-0000-0000-00008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078" name="Check Box 646" hidden="1">
              <a:extLst>
                <a:ext uri="{63B3BB69-23CF-44E3-9099-C40C66FF867C}">
                  <a14:compatExt spid="_x0000_s19078"/>
                </a:ext>
                <a:ext uri="{FF2B5EF4-FFF2-40B4-BE49-F238E27FC236}">
                  <a16:creationId xmlns:a16="http://schemas.microsoft.com/office/drawing/2014/main" id="{00000000-0008-0000-0000-00008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079" name="Check Box 647" hidden="1">
              <a:extLst>
                <a:ext uri="{63B3BB69-23CF-44E3-9099-C40C66FF867C}">
                  <a14:compatExt spid="_x0000_s19079"/>
                </a:ext>
                <a:ext uri="{FF2B5EF4-FFF2-40B4-BE49-F238E27FC236}">
                  <a16:creationId xmlns:a16="http://schemas.microsoft.com/office/drawing/2014/main" id="{00000000-0008-0000-0000-00008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080" name="Check Box 648" hidden="1">
              <a:extLst>
                <a:ext uri="{63B3BB69-23CF-44E3-9099-C40C66FF867C}">
                  <a14:compatExt spid="_x0000_s19080"/>
                </a:ext>
                <a:ext uri="{FF2B5EF4-FFF2-40B4-BE49-F238E27FC236}">
                  <a16:creationId xmlns:a16="http://schemas.microsoft.com/office/drawing/2014/main" id="{00000000-0008-0000-0000-00008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081" name="Check Box 649" hidden="1">
              <a:extLst>
                <a:ext uri="{63B3BB69-23CF-44E3-9099-C40C66FF867C}">
                  <a14:compatExt spid="_x0000_s19081"/>
                </a:ext>
                <a:ext uri="{FF2B5EF4-FFF2-40B4-BE49-F238E27FC236}">
                  <a16:creationId xmlns:a16="http://schemas.microsoft.com/office/drawing/2014/main" id="{00000000-0008-0000-0000-00008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082" name="Check Box 650" hidden="1">
              <a:extLst>
                <a:ext uri="{63B3BB69-23CF-44E3-9099-C40C66FF867C}">
                  <a14:compatExt spid="_x0000_s19082"/>
                </a:ext>
                <a:ext uri="{FF2B5EF4-FFF2-40B4-BE49-F238E27FC236}">
                  <a16:creationId xmlns:a16="http://schemas.microsoft.com/office/drawing/2014/main" id="{00000000-0008-0000-0000-00008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083" name="Check Box 651" hidden="1">
              <a:extLst>
                <a:ext uri="{63B3BB69-23CF-44E3-9099-C40C66FF867C}">
                  <a14:compatExt spid="_x0000_s19083"/>
                </a:ext>
                <a:ext uri="{FF2B5EF4-FFF2-40B4-BE49-F238E27FC236}">
                  <a16:creationId xmlns:a16="http://schemas.microsoft.com/office/drawing/2014/main" id="{00000000-0008-0000-0000-00008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084" name="Check Box 652" hidden="1">
              <a:extLst>
                <a:ext uri="{63B3BB69-23CF-44E3-9099-C40C66FF867C}">
                  <a14:compatExt spid="_x0000_s19084"/>
                </a:ext>
                <a:ext uri="{FF2B5EF4-FFF2-40B4-BE49-F238E27FC236}">
                  <a16:creationId xmlns:a16="http://schemas.microsoft.com/office/drawing/2014/main" id="{00000000-0008-0000-0000-00008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085" name="Check Box 653" hidden="1">
              <a:extLst>
                <a:ext uri="{63B3BB69-23CF-44E3-9099-C40C66FF867C}">
                  <a14:compatExt spid="_x0000_s19085"/>
                </a:ext>
                <a:ext uri="{FF2B5EF4-FFF2-40B4-BE49-F238E27FC236}">
                  <a16:creationId xmlns:a16="http://schemas.microsoft.com/office/drawing/2014/main" id="{00000000-0008-0000-0000-00008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086" name="Check Box 654" hidden="1">
              <a:extLst>
                <a:ext uri="{63B3BB69-23CF-44E3-9099-C40C66FF867C}">
                  <a14:compatExt spid="_x0000_s19086"/>
                </a:ext>
                <a:ext uri="{FF2B5EF4-FFF2-40B4-BE49-F238E27FC236}">
                  <a16:creationId xmlns:a16="http://schemas.microsoft.com/office/drawing/2014/main" id="{00000000-0008-0000-0000-00008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087" name="Check Box 655" hidden="1">
              <a:extLst>
                <a:ext uri="{63B3BB69-23CF-44E3-9099-C40C66FF867C}">
                  <a14:compatExt spid="_x0000_s19087"/>
                </a:ext>
                <a:ext uri="{FF2B5EF4-FFF2-40B4-BE49-F238E27FC236}">
                  <a16:creationId xmlns:a16="http://schemas.microsoft.com/office/drawing/2014/main" id="{00000000-0008-0000-0000-00008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088" name="Check Box 656" hidden="1">
              <a:extLst>
                <a:ext uri="{63B3BB69-23CF-44E3-9099-C40C66FF867C}">
                  <a14:compatExt spid="_x0000_s19088"/>
                </a:ext>
                <a:ext uri="{FF2B5EF4-FFF2-40B4-BE49-F238E27FC236}">
                  <a16:creationId xmlns:a16="http://schemas.microsoft.com/office/drawing/2014/main" id="{00000000-0008-0000-0000-00009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089" name="Check Box 657" hidden="1">
              <a:extLst>
                <a:ext uri="{63B3BB69-23CF-44E3-9099-C40C66FF867C}">
                  <a14:compatExt spid="_x0000_s19089"/>
                </a:ext>
                <a:ext uri="{FF2B5EF4-FFF2-40B4-BE49-F238E27FC236}">
                  <a16:creationId xmlns:a16="http://schemas.microsoft.com/office/drawing/2014/main" id="{00000000-0008-0000-0000-00009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090" name="Check Box 658" hidden="1">
              <a:extLst>
                <a:ext uri="{63B3BB69-23CF-44E3-9099-C40C66FF867C}">
                  <a14:compatExt spid="_x0000_s19090"/>
                </a:ext>
                <a:ext uri="{FF2B5EF4-FFF2-40B4-BE49-F238E27FC236}">
                  <a16:creationId xmlns:a16="http://schemas.microsoft.com/office/drawing/2014/main" id="{00000000-0008-0000-0000-00009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091" name="Check Box 659" hidden="1">
              <a:extLst>
                <a:ext uri="{63B3BB69-23CF-44E3-9099-C40C66FF867C}">
                  <a14:compatExt spid="_x0000_s19091"/>
                </a:ext>
                <a:ext uri="{FF2B5EF4-FFF2-40B4-BE49-F238E27FC236}">
                  <a16:creationId xmlns:a16="http://schemas.microsoft.com/office/drawing/2014/main" id="{00000000-0008-0000-0000-00009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092" name="Check Box 660" hidden="1">
              <a:extLst>
                <a:ext uri="{63B3BB69-23CF-44E3-9099-C40C66FF867C}">
                  <a14:compatExt spid="_x0000_s19092"/>
                </a:ext>
                <a:ext uri="{FF2B5EF4-FFF2-40B4-BE49-F238E27FC236}">
                  <a16:creationId xmlns:a16="http://schemas.microsoft.com/office/drawing/2014/main" id="{00000000-0008-0000-0000-00009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093" name="Check Box 661" hidden="1">
              <a:extLst>
                <a:ext uri="{63B3BB69-23CF-44E3-9099-C40C66FF867C}">
                  <a14:compatExt spid="_x0000_s19093"/>
                </a:ext>
                <a:ext uri="{FF2B5EF4-FFF2-40B4-BE49-F238E27FC236}">
                  <a16:creationId xmlns:a16="http://schemas.microsoft.com/office/drawing/2014/main" id="{00000000-0008-0000-0000-00009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094" name="Check Box 662" hidden="1">
              <a:extLst>
                <a:ext uri="{63B3BB69-23CF-44E3-9099-C40C66FF867C}">
                  <a14:compatExt spid="_x0000_s19094"/>
                </a:ext>
                <a:ext uri="{FF2B5EF4-FFF2-40B4-BE49-F238E27FC236}">
                  <a16:creationId xmlns:a16="http://schemas.microsoft.com/office/drawing/2014/main" id="{00000000-0008-0000-0000-00009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095" name="Check Box 663" hidden="1">
              <a:extLst>
                <a:ext uri="{63B3BB69-23CF-44E3-9099-C40C66FF867C}">
                  <a14:compatExt spid="_x0000_s19095"/>
                </a:ext>
                <a:ext uri="{FF2B5EF4-FFF2-40B4-BE49-F238E27FC236}">
                  <a16:creationId xmlns:a16="http://schemas.microsoft.com/office/drawing/2014/main" id="{00000000-0008-0000-0000-00009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096" name="Check Box 664" hidden="1">
              <a:extLst>
                <a:ext uri="{63B3BB69-23CF-44E3-9099-C40C66FF867C}">
                  <a14:compatExt spid="_x0000_s19096"/>
                </a:ext>
                <a:ext uri="{FF2B5EF4-FFF2-40B4-BE49-F238E27FC236}">
                  <a16:creationId xmlns:a16="http://schemas.microsoft.com/office/drawing/2014/main" id="{00000000-0008-0000-0000-00009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097" name="Check Box 665" hidden="1">
              <a:extLst>
                <a:ext uri="{63B3BB69-23CF-44E3-9099-C40C66FF867C}">
                  <a14:compatExt spid="_x0000_s19097"/>
                </a:ext>
                <a:ext uri="{FF2B5EF4-FFF2-40B4-BE49-F238E27FC236}">
                  <a16:creationId xmlns:a16="http://schemas.microsoft.com/office/drawing/2014/main" id="{00000000-0008-0000-0000-00009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098" name="Check Box 666" hidden="1">
              <a:extLst>
                <a:ext uri="{63B3BB69-23CF-44E3-9099-C40C66FF867C}">
                  <a14:compatExt spid="_x0000_s19098"/>
                </a:ext>
                <a:ext uri="{FF2B5EF4-FFF2-40B4-BE49-F238E27FC236}">
                  <a16:creationId xmlns:a16="http://schemas.microsoft.com/office/drawing/2014/main" id="{00000000-0008-0000-0000-00009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099" name="Check Box 667" hidden="1">
              <a:extLst>
                <a:ext uri="{63B3BB69-23CF-44E3-9099-C40C66FF867C}">
                  <a14:compatExt spid="_x0000_s19099"/>
                </a:ext>
                <a:ext uri="{FF2B5EF4-FFF2-40B4-BE49-F238E27FC236}">
                  <a16:creationId xmlns:a16="http://schemas.microsoft.com/office/drawing/2014/main" id="{00000000-0008-0000-0000-00009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100" name="Check Box 668" hidden="1">
              <a:extLst>
                <a:ext uri="{63B3BB69-23CF-44E3-9099-C40C66FF867C}">
                  <a14:compatExt spid="_x0000_s19100"/>
                </a:ext>
                <a:ext uri="{FF2B5EF4-FFF2-40B4-BE49-F238E27FC236}">
                  <a16:creationId xmlns:a16="http://schemas.microsoft.com/office/drawing/2014/main" id="{00000000-0008-0000-0000-00009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101" name="Check Box 669" hidden="1">
              <a:extLst>
                <a:ext uri="{63B3BB69-23CF-44E3-9099-C40C66FF867C}">
                  <a14:compatExt spid="_x0000_s19101"/>
                </a:ext>
                <a:ext uri="{FF2B5EF4-FFF2-40B4-BE49-F238E27FC236}">
                  <a16:creationId xmlns:a16="http://schemas.microsoft.com/office/drawing/2014/main" id="{00000000-0008-0000-0000-00009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102" name="Check Box 670" hidden="1">
              <a:extLst>
                <a:ext uri="{63B3BB69-23CF-44E3-9099-C40C66FF867C}">
                  <a14:compatExt spid="_x0000_s19102"/>
                </a:ext>
                <a:ext uri="{FF2B5EF4-FFF2-40B4-BE49-F238E27FC236}">
                  <a16:creationId xmlns:a16="http://schemas.microsoft.com/office/drawing/2014/main" id="{00000000-0008-0000-0000-00009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103" name="Check Box 671" hidden="1">
              <a:extLst>
                <a:ext uri="{63B3BB69-23CF-44E3-9099-C40C66FF867C}">
                  <a14:compatExt spid="_x0000_s19103"/>
                </a:ext>
                <a:ext uri="{FF2B5EF4-FFF2-40B4-BE49-F238E27FC236}">
                  <a16:creationId xmlns:a16="http://schemas.microsoft.com/office/drawing/2014/main" id="{00000000-0008-0000-0000-00009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104" name="Check Box 672" hidden="1">
              <a:extLst>
                <a:ext uri="{63B3BB69-23CF-44E3-9099-C40C66FF867C}">
                  <a14:compatExt spid="_x0000_s19104"/>
                </a:ext>
                <a:ext uri="{FF2B5EF4-FFF2-40B4-BE49-F238E27FC236}">
                  <a16:creationId xmlns:a16="http://schemas.microsoft.com/office/drawing/2014/main" id="{00000000-0008-0000-0000-0000A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105" name="Check Box 673" hidden="1">
              <a:extLst>
                <a:ext uri="{63B3BB69-23CF-44E3-9099-C40C66FF867C}">
                  <a14:compatExt spid="_x0000_s19105"/>
                </a:ext>
                <a:ext uri="{FF2B5EF4-FFF2-40B4-BE49-F238E27FC236}">
                  <a16:creationId xmlns:a16="http://schemas.microsoft.com/office/drawing/2014/main" id="{00000000-0008-0000-0000-0000A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106" name="Check Box 674" hidden="1">
              <a:extLst>
                <a:ext uri="{63B3BB69-23CF-44E3-9099-C40C66FF867C}">
                  <a14:compatExt spid="_x0000_s19106"/>
                </a:ext>
                <a:ext uri="{FF2B5EF4-FFF2-40B4-BE49-F238E27FC236}">
                  <a16:creationId xmlns:a16="http://schemas.microsoft.com/office/drawing/2014/main" id="{00000000-0008-0000-0000-0000A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107" name="Check Box 675" hidden="1">
              <a:extLst>
                <a:ext uri="{63B3BB69-23CF-44E3-9099-C40C66FF867C}">
                  <a14:compatExt spid="_x0000_s19107"/>
                </a:ext>
                <a:ext uri="{FF2B5EF4-FFF2-40B4-BE49-F238E27FC236}">
                  <a16:creationId xmlns:a16="http://schemas.microsoft.com/office/drawing/2014/main" id="{00000000-0008-0000-0000-0000A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108" name="Check Box 676" hidden="1">
              <a:extLst>
                <a:ext uri="{63B3BB69-23CF-44E3-9099-C40C66FF867C}">
                  <a14:compatExt spid="_x0000_s19108"/>
                </a:ext>
                <a:ext uri="{FF2B5EF4-FFF2-40B4-BE49-F238E27FC236}">
                  <a16:creationId xmlns:a16="http://schemas.microsoft.com/office/drawing/2014/main" id="{00000000-0008-0000-0000-0000A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109" name="Check Box 677" hidden="1">
              <a:extLst>
                <a:ext uri="{63B3BB69-23CF-44E3-9099-C40C66FF867C}">
                  <a14:compatExt spid="_x0000_s19109"/>
                </a:ext>
                <a:ext uri="{FF2B5EF4-FFF2-40B4-BE49-F238E27FC236}">
                  <a16:creationId xmlns:a16="http://schemas.microsoft.com/office/drawing/2014/main" id="{00000000-0008-0000-0000-0000A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110" name="Check Box 678" hidden="1">
              <a:extLst>
                <a:ext uri="{63B3BB69-23CF-44E3-9099-C40C66FF867C}">
                  <a14:compatExt spid="_x0000_s19110"/>
                </a:ext>
                <a:ext uri="{FF2B5EF4-FFF2-40B4-BE49-F238E27FC236}">
                  <a16:creationId xmlns:a16="http://schemas.microsoft.com/office/drawing/2014/main" id="{00000000-0008-0000-0000-0000A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111" name="Check Box 679" hidden="1">
              <a:extLst>
                <a:ext uri="{63B3BB69-23CF-44E3-9099-C40C66FF867C}">
                  <a14:compatExt spid="_x0000_s19111"/>
                </a:ext>
                <a:ext uri="{FF2B5EF4-FFF2-40B4-BE49-F238E27FC236}">
                  <a16:creationId xmlns:a16="http://schemas.microsoft.com/office/drawing/2014/main" id="{00000000-0008-0000-0000-0000A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112" name="Check Box 680" hidden="1">
              <a:extLst>
                <a:ext uri="{63B3BB69-23CF-44E3-9099-C40C66FF867C}">
                  <a14:compatExt spid="_x0000_s19112"/>
                </a:ext>
                <a:ext uri="{FF2B5EF4-FFF2-40B4-BE49-F238E27FC236}">
                  <a16:creationId xmlns:a16="http://schemas.microsoft.com/office/drawing/2014/main" id="{00000000-0008-0000-0000-0000A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113" name="Check Box 681" hidden="1">
              <a:extLst>
                <a:ext uri="{63B3BB69-23CF-44E3-9099-C40C66FF867C}">
                  <a14:compatExt spid="_x0000_s19113"/>
                </a:ext>
                <a:ext uri="{FF2B5EF4-FFF2-40B4-BE49-F238E27FC236}">
                  <a16:creationId xmlns:a16="http://schemas.microsoft.com/office/drawing/2014/main" id="{00000000-0008-0000-0000-0000A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114" name="Check Box 682" hidden="1">
              <a:extLst>
                <a:ext uri="{63B3BB69-23CF-44E3-9099-C40C66FF867C}">
                  <a14:compatExt spid="_x0000_s19114"/>
                </a:ext>
                <a:ext uri="{FF2B5EF4-FFF2-40B4-BE49-F238E27FC236}">
                  <a16:creationId xmlns:a16="http://schemas.microsoft.com/office/drawing/2014/main" id="{00000000-0008-0000-0000-0000A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115" name="Check Box 683" hidden="1">
              <a:extLst>
                <a:ext uri="{63B3BB69-23CF-44E3-9099-C40C66FF867C}">
                  <a14:compatExt spid="_x0000_s19115"/>
                </a:ext>
                <a:ext uri="{FF2B5EF4-FFF2-40B4-BE49-F238E27FC236}">
                  <a16:creationId xmlns:a16="http://schemas.microsoft.com/office/drawing/2014/main" id="{00000000-0008-0000-0000-0000A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116" name="Check Box 684" hidden="1">
              <a:extLst>
                <a:ext uri="{63B3BB69-23CF-44E3-9099-C40C66FF867C}">
                  <a14:compatExt spid="_x0000_s19116"/>
                </a:ext>
                <a:ext uri="{FF2B5EF4-FFF2-40B4-BE49-F238E27FC236}">
                  <a16:creationId xmlns:a16="http://schemas.microsoft.com/office/drawing/2014/main" id="{00000000-0008-0000-0000-0000A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117" name="Check Box 685" hidden="1">
              <a:extLst>
                <a:ext uri="{63B3BB69-23CF-44E3-9099-C40C66FF867C}">
                  <a14:compatExt spid="_x0000_s19117"/>
                </a:ext>
                <a:ext uri="{FF2B5EF4-FFF2-40B4-BE49-F238E27FC236}">
                  <a16:creationId xmlns:a16="http://schemas.microsoft.com/office/drawing/2014/main" id="{00000000-0008-0000-0000-0000A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118" name="Check Box 686" hidden="1">
              <a:extLst>
                <a:ext uri="{63B3BB69-23CF-44E3-9099-C40C66FF867C}">
                  <a14:compatExt spid="_x0000_s19118"/>
                </a:ext>
                <a:ext uri="{FF2B5EF4-FFF2-40B4-BE49-F238E27FC236}">
                  <a16:creationId xmlns:a16="http://schemas.microsoft.com/office/drawing/2014/main" id="{00000000-0008-0000-0000-0000A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119" name="Check Box 687" hidden="1">
              <a:extLst>
                <a:ext uri="{63B3BB69-23CF-44E3-9099-C40C66FF867C}">
                  <a14:compatExt spid="_x0000_s19119"/>
                </a:ext>
                <a:ext uri="{FF2B5EF4-FFF2-40B4-BE49-F238E27FC236}">
                  <a16:creationId xmlns:a16="http://schemas.microsoft.com/office/drawing/2014/main" id="{00000000-0008-0000-0000-0000A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120" name="Check Box 688" hidden="1">
              <a:extLst>
                <a:ext uri="{63B3BB69-23CF-44E3-9099-C40C66FF867C}">
                  <a14:compatExt spid="_x0000_s19120"/>
                </a:ext>
                <a:ext uri="{FF2B5EF4-FFF2-40B4-BE49-F238E27FC236}">
                  <a16:creationId xmlns:a16="http://schemas.microsoft.com/office/drawing/2014/main" id="{00000000-0008-0000-0000-0000B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121" name="Check Box 689" hidden="1">
              <a:extLst>
                <a:ext uri="{63B3BB69-23CF-44E3-9099-C40C66FF867C}">
                  <a14:compatExt spid="_x0000_s19121"/>
                </a:ext>
                <a:ext uri="{FF2B5EF4-FFF2-40B4-BE49-F238E27FC236}">
                  <a16:creationId xmlns:a16="http://schemas.microsoft.com/office/drawing/2014/main" id="{00000000-0008-0000-0000-0000B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122" name="Check Box 690" hidden="1">
              <a:extLst>
                <a:ext uri="{63B3BB69-23CF-44E3-9099-C40C66FF867C}">
                  <a14:compatExt spid="_x0000_s19122"/>
                </a:ext>
                <a:ext uri="{FF2B5EF4-FFF2-40B4-BE49-F238E27FC236}">
                  <a16:creationId xmlns:a16="http://schemas.microsoft.com/office/drawing/2014/main" id="{00000000-0008-0000-0000-0000B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123" name="Check Box 691" hidden="1">
              <a:extLst>
                <a:ext uri="{63B3BB69-23CF-44E3-9099-C40C66FF867C}">
                  <a14:compatExt spid="_x0000_s19123"/>
                </a:ext>
                <a:ext uri="{FF2B5EF4-FFF2-40B4-BE49-F238E27FC236}">
                  <a16:creationId xmlns:a16="http://schemas.microsoft.com/office/drawing/2014/main" id="{00000000-0008-0000-0000-0000B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124" name="Check Box 692" hidden="1">
              <a:extLst>
                <a:ext uri="{63B3BB69-23CF-44E3-9099-C40C66FF867C}">
                  <a14:compatExt spid="_x0000_s19124"/>
                </a:ext>
                <a:ext uri="{FF2B5EF4-FFF2-40B4-BE49-F238E27FC236}">
                  <a16:creationId xmlns:a16="http://schemas.microsoft.com/office/drawing/2014/main" id="{00000000-0008-0000-0000-0000B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125" name="Check Box 693" hidden="1">
              <a:extLst>
                <a:ext uri="{63B3BB69-23CF-44E3-9099-C40C66FF867C}">
                  <a14:compatExt spid="_x0000_s19125"/>
                </a:ext>
                <a:ext uri="{FF2B5EF4-FFF2-40B4-BE49-F238E27FC236}">
                  <a16:creationId xmlns:a16="http://schemas.microsoft.com/office/drawing/2014/main" id="{00000000-0008-0000-0000-0000B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126" name="Check Box 694" hidden="1">
              <a:extLst>
                <a:ext uri="{63B3BB69-23CF-44E3-9099-C40C66FF867C}">
                  <a14:compatExt spid="_x0000_s19126"/>
                </a:ext>
                <a:ext uri="{FF2B5EF4-FFF2-40B4-BE49-F238E27FC236}">
                  <a16:creationId xmlns:a16="http://schemas.microsoft.com/office/drawing/2014/main" id="{00000000-0008-0000-0000-0000B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127" name="Check Box 695" hidden="1">
              <a:extLst>
                <a:ext uri="{63B3BB69-23CF-44E3-9099-C40C66FF867C}">
                  <a14:compatExt spid="_x0000_s19127"/>
                </a:ext>
                <a:ext uri="{FF2B5EF4-FFF2-40B4-BE49-F238E27FC236}">
                  <a16:creationId xmlns:a16="http://schemas.microsoft.com/office/drawing/2014/main" id="{00000000-0008-0000-0000-0000B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128" name="Check Box 696" hidden="1">
              <a:extLst>
                <a:ext uri="{63B3BB69-23CF-44E3-9099-C40C66FF867C}">
                  <a14:compatExt spid="_x0000_s19128"/>
                </a:ext>
                <a:ext uri="{FF2B5EF4-FFF2-40B4-BE49-F238E27FC236}">
                  <a16:creationId xmlns:a16="http://schemas.microsoft.com/office/drawing/2014/main" id="{00000000-0008-0000-0000-0000B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129" name="Check Box 697" hidden="1">
              <a:extLst>
                <a:ext uri="{63B3BB69-23CF-44E3-9099-C40C66FF867C}">
                  <a14:compatExt spid="_x0000_s19129"/>
                </a:ext>
                <a:ext uri="{FF2B5EF4-FFF2-40B4-BE49-F238E27FC236}">
                  <a16:creationId xmlns:a16="http://schemas.microsoft.com/office/drawing/2014/main" id="{00000000-0008-0000-0000-0000B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130" name="Check Box 698" hidden="1">
              <a:extLst>
                <a:ext uri="{63B3BB69-23CF-44E3-9099-C40C66FF867C}">
                  <a14:compatExt spid="_x0000_s19130"/>
                </a:ext>
                <a:ext uri="{FF2B5EF4-FFF2-40B4-BE49-F238E27FC236}">
                  <a16:creationId xmlns:a16="http://schemas.microsoft.com/office/drawing/2014/main" id="{00000000-0008-0000-0000-0000B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131" name="Check Box 699" hidden="1">
              <a:extLst>
                <a:ext uri="{63B3BB69-23CF-44E3-9099-C40C66FF867C}">
                  <a14:compatExt spid="_x0000_s19131"/>
                </a:ext>
                <a:ext uri="{FF2B5EF4-FFF2-40B4-BE49-F238E27FC236}">
                  <a16:creationId xmlns:a16="http://schemas.microsoft.com/office/drawing/2014/main" id="{00000000-0008-0000-0000-0000B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132" name="Check Box 700" hidden="1">
              <a:extLst>
                <a:ext uri="{63B3BB69-23CF-44E3-9099-C40C66FF867C}">
                  <a14:compatExt spid="_x0000_s19132"/>
                </a:ext>
                <a:ext uri="{FF2B5EF4-FFF2-40B4-BE49-F238E27FC236}">
                  <a16:creationId xmlns:a16="http://schemas.microsoft.com/office/drawing/2014/main" id="{00000000-0008-0000-0000-0000B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133" name="Check Box 701" hidden="1">
              <a:extLst>
                <a:ext uri="{63B3BB69-23CF-44E3-9099-C40C66FF867C}">
                  <a14:compatExt spid="_x0000_s19133"/>
                </a:ext>
                <a:ext uri="{FF2B5EF4-FFF2-40B4-BE49-F238E27FC236}">
                  <a16:creationId xmlns:a16="http://schemas.microsoft.com/office/drawing/2014/main" id="{00000000-0008-0000-0000-0000B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134" name="Check Box 702" hidden="1">
              <a:extLst>
                <a:ext uri="{63B3BB69-23CF-44E3-9099-C40C66FF867C}">
                  <a14:compatExt spid="_x0000_s19134"/>
                </a:ext>
                <a:ext uri="{FF2B5EF4-FFF2-40B4-BE49-F238E27FC236}">
                  <a16:creationId xmlns:a16="http://schemas.microsoft.com/office/drawing/2014/main" id="{00000000-0008-0000-0000-0000B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135" name="Check Box 703" hidden="1">
              <a:extLst>
                <a:ext uri="{63B3BB69-23CF-44E3-9099-C40C66FF867C}">
                  <a14:compatExt spid="_x0000_s19135"/>
                </a:ext>
                <a:ext uri="{FF2B5EF4-FFF2-40B4-BE49-F238E27FC236}">
                  <a16:creationId xmlns:a16="http://schemas.microsoft.com/office/drawing/2014/main" id="{00000000-0008-0000-0000-0000B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136" name="Check Box 704" hidden="1">
              <a:extLst>
                <a:ext uri="{63B3BB69-23CF-44E3-9099-C40C66FF867C}">
                  <a14:compatExt spid="_x0000_s19136"/>
                </a:ext>
                <a:ext uri="{FF2B5EF4-FFF2-40B4-BE49-F238E27FC236}">
                  <a16:creationId xmlns:a16="http://schemas.microsoft.com/office/drawing/2014/main" id="{00000000-0008-0000-0000-0000C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137" name="Check Box 705" hidden="1">
              <a:extLst>
                <a:ext uri="{63B3BB69-23CF-44E3-9099-C40C66FF867C}">
                  <a14:compatExt spid="_x0000_s19137"/>
                </a:ext>
                <a:ext uri="{FF2B5EF4-FFF2-40B4-BE49-F238E27FC236}">
                  <a16:creationId xmlns:a16="http://schemas.microsoft.com/office/drawing/2014/main" id="{00000000-0008-0000-0000-0000C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138" name="Check Box 706" hidden="1">
              <a:extLst>
                <a:ext uri="{63B3BB69-23CF-44E3-9099-C40C66FF867C}">
                  <a14:compatExt spid="_x0000_s19138"/>
                </a:ext>
                <a:ext uri="{FF2B5EF4-FFF2-40B4-BE49-F238E27FC236}">
                  <a16:creationId xmlns:a16="http://schemas.microsoft.com/office/drawing/2014/main" id="{00000000-0008-0000-0000-0000C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139" name="Check Box 707" hidden="1">
              <a:extLst>
                <a:ext uri="{63B3BB69-23CF-44E3-9099-C40C66FF867C}">
                  <a14:compatExt spid="_x0000_s19139"/>
                </a:ext>
                <a:ext uri="{FF2B5EF4-FFF2-40B4-BE49-F238E27FC236}">
                  <a16:creationId xmlns:a16="http://schemas.microsoft.com/office/drawing/2014/main" id="{00000000-0008-0000-0000-0000C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140" name="Check Box 708" hidden="1">
              <a:extLst>
                <a:ext uri="{63B3BB69-23CF-44E3-9099-C40C66FF867C}">
                  <a14:compatExt spid="_x0000_s19140"/>
                </a:ext>
                <a:ext uri="{FF2B5EF4-FFF2-40B4-BE49-F238E27FC236}">
                  <a16:creationId xmlns:a16="http://schemas.microsoft.com/office/drawing/2014/main" id="{00000000-0008-0000-0000-0000C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141" name="Check Box 709" hidden="1">
              <a:extLst>
                <a:ext uri="{63B3BB69-23CF-44E3-9099-C40C66FF867C}">
                  <a14:compatExt spid="_x0000_s19141"/>
                </a:ext>
                <a:ext uri="{FF2B5EF4-FFF2-40B4-BE49-F238E27FC236}">
                  <a16:creationId xmlns:a16="http://schemas.microsoft.com/office/drawing/2014/main" id="{00000000-0008-0000-0000-0000C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142" name="Check Box 710" hidden="1">
              <a:extLst>
                <a:ext uri="{63B3BB69-23CF-44E3-9099-C40C66FF867C}">
                  <a14:compatExt spid="_x0000_s19142"/>
                </a:ext>
                <a:ext uri="{FF2B5EF4-FFF2-40B4-BE49-F238E27FC236}">
                  <a16:creationId xmlns:a16="http://schemas.microsoft.com/office/drawing/2014/main" id="{00000000-0008-0000-0000-0000C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143" name="Check Box 711" hidden="1">
              <a:extLst>
                <a:ext uri="{63B3BB69-23CF-44E3-9099-C40C66FF867C}">
                  <a14:compatExt spid="_x0000_s19143"/>
                </a:ext>
                <a:ext uri="{FF2B5EF4-FFF2-40B4-BE49-F238E27FC236}">
                  <a16:creationId xmlns:a16="http://schemas.microsoft.com/office/drawing/2014/main" id="{00000000-0008-0000-0000-0000C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144" name="Check Box 712" hidden="1">
              <a:extLst>
                <a:ext uri="{63B3BB69-23CF-44E3-9099-C40C66FF867C}">
                  <a14:compatExt spid="_x0000_s19144"/>
                </a:ext>
                <a:ext uri="{FF2B5EF4-FFF2-40B4-BE49-F238E27FC236}">
                  <a16:creationId xmlns:a16="http://schemas.microsoft.com/office/drawing/2014/main" id="{00000000-0008-0000-0000-0000C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145" name="Check Box 713" hidden="1">
              <a:extLst>
                <a:ext uri="{63B3BB69-23CF-44E3-9099-C40C66FF867C}">
                  <a14:compatExt spid="_x0000_s19145"/>
                </a:ext>
                <a:ext uri="{FF2B5EF4-FFF2-40B4-BE49-F238E27FC236}">
                  <a16:creationId xmlns:a16="http://schemas.microsoft.com/office/drawing/2014/main" id="{00000000-0008-0000-0000-0000C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146" name="Check Box 714" hidden="1">
              <a:extLst>
                <a:ext uri="{63B3BB69-23CF-44E3-9099-C40C66FF867C}">
                  <a14:compatExt spid="_x0000_s19146"/>
                </a:ext>
                <a:ext uri="{FF2B5EF4-FFF2-40B4-BE49-F238E27FC236}">
                  <a16:creationId xmlns:a16="http://schemas.microsoft.com/office/drawing/2014/main" id="{00000000-0008-0000-0000-0000C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147" name="Check Box 715" hidden="1">
              <a:extLst>
                <a:ext uri="{63B3BB69-23CF-44E3-9099-C40C66FF867C}">
                  <a14:compatExt spid="_x0000_s19147"/>
                </a:ext>
                <a:ext uri="{FF2B5EF4-FFF2-40B4-BE49-F238E27FC236}">
                  <a16:creationId xmlns:a16="http://schemas.microsoft.com/office/drawing/2014/main" id="{00000000-0008-0000-0000-0000C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148" name="Check Box 716" hidden="1">
              <a:extLst>
                <a:ext uri="{63B3BB69-23CF-44E3-9099-C40C66FF867C}">
                  <a14:compatExt spid="_x0000_s19148"/>
                </a:ext>
                <a:ext uri="{FF2B5EF4-FFF2-40B4-BE49-F238E27FC236}">
                  <a16:creationId xmlns:a16="http://schemas.microsoft.com/office/drawing/2014/main" id="{00000000-0008-0000-0000-0000C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149" name="Check Box 717" hidden="1">
              <a:extLst>
                <a:ext uri="{63B3BB69-23CF-44E3-9099-C40C66FF867C}">
                  <a14:compatExt spid="_x0000_s19149"/>
                </a:ext>
                <a:ext uri="{FF2B5EF4-FFF2-40B4-BE49-F238E27FC236}">
                  <a16:creationId xmlns:a16="http://schemas.microsoft.com/office/drawing/2014/main" id="{00000000-0008-0000-0000-0000C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150" name="Check Box 718" hidden="1">
              <a:extLst>
                <a:ext uri="{63B3BB69-23CF-44E3-9099-C40C66FF867C}">
                  <a14:compatExt spid="_x0000_s19150"/>
                </a:ext>
                <a:ext uri="{FF2B5EF4-FFF2-40B4-BE49-F238E27FC236}">
                  <a16:creationId xmlns:a16="http://schemas.microsoft.com/office/drawing/2014/main" id="{00000000-0008-0000-0000-0000C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151" name="Check Box 719" hidden="1">
              <a:extLst>
                <a:ext uri="{63B3BB69-23CF-44E3-9099-C40C66FF867C}">
                  <a14:compatExt spid="_x0000_s19151"/>
                </a:ext>
                <a:ext uri="{FF2B5EF4-FFF2-40B4-BE49-F238E27FC236}">
                  <a16:creationId xmlns:a16="http://schemas.microsoft.com/office/drawing/2014/main" id="{00000000-0008-0000-0000-0000C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152" name="Check Box 720" hidden="1">
              <a:extLst>
                <a:ext uri="{63B3BB69-23CF-44E3-9099-C40C66FF867C}">
                  <a14:compatExt spid="_x0000_s19152"/>
                </a:ext>
                <a:ext uri="{FF2B5EF4-FFF2-40B4-BE49-F238E27FC236}">
                  <a16:creationId xmlns:a16="http://schemas.microsoft.com/office/drawing/2014/main" id="{00000000-0008-0000-0000-0000D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153" name="Check Box 721" hidden="1">
              <a:extLst>
                <a:ext uri="{63B3BB69-23CF-44E3-9099-C40C66FF867C}">
                  <a14:compatExt spid="_x0000_s19153"/>
                </a:ext>
                <a:ext uri="{FF2B5EF4-FFF2-40B4-BE49-F238E27FC236}">
                  <a16:creationId xmlns:a16="http://schemas.microsoft.com/office/drawing/2014/main" id="{00000000-0008-0000-0000-0000D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154" name="Check Box 722" hidden="1">
              <a:extLst>
                <a:ext uri="{63B3BB69-23CF-44E3-9099-C40C66FF867C}">
                  <a14:compatExt spid="_x0000_s19154"/>
                </a:ext>
                <a:ext uri="{FF2B5EF4-FFF2-40B4-BE49-F238E27FC236}">
                  <a16:creationId xmlns:a16="http://schemas.microsoft.com/office/drawing/2014/main" id="{00000000-0008-0000-0000-0000D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155" name="Check Box 723" hidden="1">
              <a:extLst>
                <a:ext uri="{63B3BB69-23CF-44E3-9099-C40C66FF867C}">
                  <a14:compatExt spid="_x0000_s19155"/>
                </a:ext>
                <a:ext uri="{FF2B5EF4-FFF2-40B4-BE49-F238E27FC236}">
                  <a16:creationId xmlns:a16="http://schemas.microsoft.com/office/drawing/2014/main" id="{00000000-0008-0000-0000-0000D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156" name="Check Box 724" hidden="1">
              <a:extLst>
                <a:ext uri="{63B3BB69-23CF-44E3-9099-C40C66FF867C}">
                  <a14:compatExt spid="_x0000_s19156"/>
                </a:ext>
                <a:ext uri="{FF2B5EF4-FFF2-40B4-BE49-F238E27FC236}">
                  <a16:creationId xmlns:a16="http://schemas.microsoft.com/office/drawing/2014/main" id="{00000000-0008-0000-0000-0000D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157" name="Check Box 725" hidden="1">
              <a:extLst>
                <a:ext uri="{63B3BB69-23CF-44E3-9099-C40C66FF867C}">
                  <a14:compatExt spid="_x0000_s19157"/>
                </a:ext>
                <a:ext uri="{FF2B5EF4-FFF2-40B4-BE49-F238E27FC236}">
                  <a16:creationId xmlns:a16="http://schemas.microsoft.com/office/drawing/2014/main" id="{00000000-0008-0000-0000-0000D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158" name="Check Box 726" hidden="1">
              <a:extLst>
                <a:ext uri="{63B3BB69-23CF-44E3-9099-C40C66FF867C}">
                  <a14:compatExt spid="_x0000_s19158"/>
                </a:ext>
                <a:ext uri="{FF2B5EF4-FFF2-40B4-BE49-F238E27FC236}">
                  <a16:creationId xmlns:a16="http://schemas.microsoft.com/office/drawing/2014/main" id="{00000000-0008-0000-0000-0000D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159" name="Check Box 727" hidden="1">
              <a:extLst>
                <a:ext uri="{63B3BB69-23CF-44E3-9099-C40C66FF867C}">
                  <a14:compatExt spid="_x0000_s19159"/>
                </a:ext>
                <a:ext uri="{FF2B5EF4-FFF2-40B4-BE49-F238E27FC236}">
                  <a16:creationId xmlns:a16="http://schemas.microsoft.com/office/drawing/2014/main" id="{00000000-0008-0000-0000-0000D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160" name="Check Box 728" hidden="1">
              <a:extLst>
                <a:ext uri="{63B3BB69-23CF-44E3-9099-C40C66FF867C}">
                  <a14:compatExt spid="_x0000_s19160"/>
                </a:ext>
                <a:ext uri="{FF2B5EF4-FFF2-40B4-BE49-F238E27FC236}">
                  <a16:creationId xmlns:a16="http://schemas.microsoft.com/office/drawing/2014/main" id="{00000000-0008-0000-0000-0000D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161" name="Check Box 729" hidden="1">
              <a:extLst>
                <a:ext uri="{63B3BB69-23CF-44E3-9099-C40C66FF867C}">
                  <a14:compatExt spid="_x0000_s19161"/>
                </a:ext>
                <a:ext uri="{FF2B5EF4-FFF2-40B4-BE49-F238E27FC236}">
                  <a16:creationId xmlns:a16="http://schemas.microsoft.com/office/drawing/2014/main" id="{00000000-0008-0000-0000-0000D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162" name="Check Box 730" hidden="1">
              <a:extLst>
                <a:ext uri="{63B3BB69-23CF-44E3-9099-C40C66FF867C}">
                  <a14:compatExt spid="_x0000_s19162"/>
                </a:ext>
                <a:ext uri="{FF2B5EF4-FFF2-40B4-BE49-F238E27FC236}">
                  <a16:creationId xmlns:a16="http://schemas.microsoft.com/office/drawing/2014/main" id="{00000000-0008-0000-0000-0000D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163" name="Check Box 731" hidden="1">
              <a:extLst>
                <a:ext uri="{63B3BB69-23CF-44E3-9099-C40C66FF867C}">
                  <a14:compatExt spid="_x0000_s19163"/>
                </a:ext>
                <a:ext uri="{FF2B5EF4-FFF2-40B4-BE49-F238E27FC236}">
                  <a16:creationId xmlns:a16="http://schemas.microsoft.com/office/drawing/2014/main" id="{00000000-0008-0000-0000-0000D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164" name="Check Box 732" hidden="1">
              <a:extLst>
                <a:ext uri="{63B3BB69-23CF-44E3-9099-C40C66FF867C}">
                  <a14:compatExt spid="_x0000_s19164"/>
                </a:ext>
                <a:ext uri="{FF2B5EF4-FFF2-40B4-BE49-F238E27FC236}">
                  <a16:creationId xmlns:a16="http://schemas.microsoft.com/office/drawing/2014/main" id="{00000000-0008-0000-0000-0000D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165" name="Check Box 733" hidden="1">
              <a:extLst>
                <a:ext uri="{63B3BB69-23CF-44E3-9099-C40C66FF867C}">
                  <a14:compatExt spid="_x0000_s19165"/>
                </a:ext>
                <a:ext uri="{FF2B5EF4-FFF2-40B4-BE49-F238E27FC236}">
                  <a16:creationId xmlns:a16="http://schemas.microsoft.com/office/drawing/2014/main" id="{00000000-0008-0000-0000-0000D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166" name="Check Box 734" hidden="1">
              <a:extLst>
                <a:ext uri="{63B3BB69-23CF-44E3-9099-C40C66FF867C}">
                  <a14:compatExt spid="_x0000_s19166"/>
                </a:ext>
                <a:ext uri="{FF2B5EF4-FFF2-40B4-BE49-F238E27FC236}">
                  <a16:creationId xmlns:a16="http://schemas.microsoft.com/office/drawing/2014/main" id="{00000000-0008-0000-0000-0000D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167" name="Check Box 735" hidden="1">
              <a:extLst>
                <a:ext uri="{63B3BB69-23CF-44E3-9099-C40C66FF867C}">
                  <a14:compatExt spid="_x0000_s19167"/>
                </a:ext>
                <a:ext uri="{FF2B5EF4-FFF2-40B4-BE49-F238E27FC236}">
                  <a16:creationId xmlns:a16="http://schemas.microsoft.com/office/drawing/2014/main" id="{00000000-0008-0000-0000-0000D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168" name="Check Box 736" hidden="1">
              <a:extLst>
                <a:ext uri="{63B3BB69-23CF-44E3-9099-C40C66FF867C}">
                  <a14:compatExt spid="_x0000_s19168"/>
                </a:ext>
                <a:ext uri="{FF2B5EF4-FFF2-40B4-BE49-F238E27FC236}">
                  <a16:creationId xmlns:a16="http://schemas.microsoft.com/office/drawing/2014/main" id="{00000000-0008-0000-0000-0000E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169" name="Check Box 737" hidden="1">
              <a:extLst>
                <a:ext uri="{63B3BB69-23CF-44E3-9099-C40C66FF867C}">
                  <a14:compatExt spid="_x0000_s19169"/>
                </a:ext>
                <a:ext uri="{FF2B5EF4-FFF2-40B4-BE49-F238E27FC236}">
                  <a16:creationId xmlns:a16="http://schemas.microsoft.com/office/drawing/2014/main" id="{00000000-0008-0000-0000-0000E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170" name="Check Box 738" hidden="1">
              <a:extLst>
                <a:ext uri="{63B3BB69-23CF-44E3-9099-C40C66FF867C}">
                  <a14:compatExt spid="_x0000_s19170"/>
                </a:ext>
                <a:ext uri="{FF2B5EF4-FFF2-40B4-BE49-F238E27FC236}">
                  <a16:creationId xmlns:a16="http://schemas.microsoft.com/office/drawing/2014/main" id="{00000000-0008-0000-0000-0000E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171" name="Check Box 739" hidden="1">
              <a:extLst>
                <a:ext uri="{63B3BB69-23CF-44E3-9099-C40C66FF867C}">
                  <a14:compatExt spid="_x0000_s19171"/>
                </a:ext>
                <a:ext uri="{FF2B5EF4-FFF2-40B4-BE49-F238E27FC236}">
                  <a16:creationId xmlns:a16="http://schemas.microsoft.com/office/drawing/2014/main" id="{00000000-0008-0000-0000-0000E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172" name="Check Box 740" hidden="1">
              <a:extLst>
                <a:ext uri="{63B3BB69-23CF-44E3-9099-C40C66FF867C}">
                  <a14:compatExt spid="_x0000_s19172"/>
                </a:ext>
                <a:ext uri="{FF2B5EF4-FFF2-40B4-BE49-F238E27FC236}">
                  <a16:creationId xmlns:a16="http://schemas.microsoft.com/office/drawing/2014/main" id="{00000000-0008-0000-0000-0000E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173" name="Check Box 741" hidden="1">
              <a:extLst>
                <a:ext uri="{63B3BB69-23CF-44E3-9099-C40C66FF867C}">
                  <a14:compatExt spid="_x0000_s19173"/>
                </a:ext>
                <a:ext uri="{FF2B5EF4-FFF2-40B4-BE49-F238E27FC236}">
                  <a16:creationId xmlns:a16="http://schemas.microsoft.com/office/drawing/2014/main" id="{00000000-0008-0000-0000-0000E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174" name="Check Box 742" hidden="1">
              <a:extLst>
                <a:ext uri="{63B3BB69-23CF-44E3-9099-C40C66FF867C}">
                  <a14:compatExt spid="_x0000_s19174"/>
                </a:ext>
                <a:ext uri="{FF2B5EF4-FFF2-40B4-BE49-F238E27FC236}">
                  <a16:creationId xmlns:a16="http://schemas.microsoft.com/office/drawing/2014/main" id="{00000000-0008-0000-0000-0000E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175" name="Check Box 743" hidden="1">
              <a:extLst>
                <a:ext uri="{63B3BB69-23CF-44E3-9099-C40C66FF867C}">
                  <a14:compatExt spid="_x0000_s19175"/>
                </a:ext>
                <a:ext uri="{FF2B5EF4-FFF2-40B4-BE49-F238E27FC236}">
                  <a16:creationId xmlns:a16="http://schemas.microsoft.com/office/drawing/2014/main" id="{00000000-0008-0000-0000-0000E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176" name="Check Box 744" hidden="1">
              <a:extLst>
                <a:ext uri="{63B3BB69-23CF-44E3-9099-C40C66FF867C}">
                  <a14:compatExt spid="_x0000_s19176"/>
                </a:ext>
                <a:ext uri="{FF2B5EF4-FFF2-40B4-BE49-F238E27FC236}">
                  <a16:creationId xmlns:a16="http://schemas.microsoft.com/office/drawing/2014/main" id="{00000000-0008-0000-0000-0000E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177" name="Check Box 745" hidden="1">
              <a:extLst>
                <a:ext uri="{63B3BB69-23CF-44E3-9099-C40C66FF867C}">
                  <a14:compatExt spid="_x0000_s19177"/>
                </a:ext>
                <a:ext uri="{FF2B5EF4-FFF2-40B4-BE49-F238E27FC236}">
                  <a16:creationId xmlns:a16="http://schemas.microsoft.com/office/drawing/2014/main" id="{00000000-0008-0000-0000-0000E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178" name="Check Box 746" hidden="1">
              <a:extLst>
                <a:ext uri="{63B3BB69-23CF-44E3-9099-C40C66FF867C}">
                  <a14:compatExt spid="_x0000_s19178"/>
                </a:ext>
                <a:ext uri="{FF2B5EF4-FFF2-40B4-BE49-F238E27FC236}">
                  <a16:creationId xmlns:a16="http://schemas.microsoft.com/office/drawing/2014/main" id="{00000000-0008-0000-0000-0000E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179" name="Check Box 747" hidden="1">
              <a:extLst>
                <a:ext uri="{63B3BB69-23CF-44E3-9099-C40C66FF867C}">
                  <a14:compatExt spid="_x0000_s19179"/>
                </a:ext>
                <a:ext uri="{FF2B5EF4-FFF2-40B4-BE49-F238E27FC236}">
                  <a16:creationId xmlns:a16="http://schemas.microsoft.com/office/drawing/2014/main" id="{00000000-0008-0000-0000-0000E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180" name="Check Box 748" hidden="1">
              <a:extLst>
                <a:ext uri="{63B3BB69-23CF-44E3-9099-C40C66FF867C}">
                  <a14:compatExt spid="_x0000_s19180"/>
                </a:ext>
                <a:ext uri="{FF2B5EF4-FFF2-40B4-BE49-F238E27FC236}">
                  <a16:creationId xmlns:a16="http://schemas.microsoft.com/office/drawing/2014/main" id="{00000000-0008-0000-0000-0000E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181" name="Check Box 749" hidden="1">
              <a:extLst>
                <a:ext uri="{63B3BB69-23CF-44E3-9099-C40C66FF867C}">
                  <a14:compatExt spid="_x0000_s19181"/>
                </a:ext>
                <a:ext uri="{FF2B5EF4-FFF2-40B4-BE49-F238E27FC236}">
                  <a16:creationId xmlns:a16="http://schemas.microsoft.com/office/drawing/2014/main" id="{00000000-0008-0000-0000-0000E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182" name="Check Box 750" hidden="1">
              <a:extLst>
                <a:ext uri="{63B3BB69-23CF-44E3-9099-C40C66FF867C}">
                  <a14:compatExt spid="_x0000_s19182"/>
                </a:ext>
                <a:ext uri="{FF2B5EF4-FFF2-40B4-BE49-F238E27FC236}">
                  <a16:creationId xmlns:a16="http://schemas.microsoft.com/office/drawing/2014/main" id="{00000000-0008-0000-0000-0000E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183" name="Check Box 751" hidden="1">
              <a:extLst>
                <a:ext uri="{63B3BB69-23CF-44E3-9099-C40C66FF867C}">
                  <a14:compatExt spid="_x0000_s19183"/>
                </a:ext>
                <a:ext uri="{FF2B5EF4-FFF2-40B4-BE49-F238E27FC236}">
                  <a16:creationId xmlns:a16="http://schemas.microsoft.com/office/drawing/2014/main" id="{00000000-0008-0000-0000-0000E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184" name="Check Box 752" hidden="1">
              <a:extLst>
                <a:ext uri="{63B3BB69-23CF-44E3-9099-C40C66FF867C}">
                  <a14:compatExt spid="_x0000_s19184"/>
                </a:ext>
                <a:ext uri="{FF2B5EF4-FFF2-40B4-BE49-F238E27FC236}">
                  <a16:creationId xmlns:a16="http://schemas.microsoft.com/office/drawing/2014/main" id="{00000000-0008-0000-0000-0000F0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185" name="Check Box 753" hidden="1">
              <a:extLst>
                <a:ext uri="{63B3BB69-23CF-44E3-9099-C40C66FF867C}">
                  <a14:compatExt spid="_x0000_s19185"/>
                </a:ext>
                <a:ext uri="{FF2B5EF4-FFF2-40B4-BE49-F238E27FC236}">
                  <a16:creationId xmlns:a16="http://schemas.microsoft.com/office/drawing/2014/main" id="{00000000-0008-0000-0000-0000F1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186" name="Check Box 754" hidden="1">
              <a:extLst>
                <a:ext uri="{63B3BB69-23CF-44E3-9099-C40C66FF867C}">
                  <a14:compatExt spid="_x0000_s19186"/>
                </a:ext>
                <a:ext uri="{FF2B5EF4-FFF2-40B4-BE49-F238E27FC236}">
                  <a16:creationId xmlns:a16="http://schemas.microsoft.com/office/drawing/2014/main" id="{00000000-0008-0000-0000-0000F2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187" name="Check Box 755" hidden="1">
              <a:extLst>
                <a:ext uri="{63B3BB69-23CF-44E3-9099-C40C66FF867C}">
                  <a14:compatExt spid="_x0000_s19187"/>
                </a:ext>
                <a:ext uri="{FF2B5EF4-FFF2-40B4-BE49-F238E27FC236}">
                  <a16:creationId xmlns:a16="http://schemas.microsoft.com/office/drawing/2014/main" id="{00000000-0008-0000-0000-0000F3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188" name="Check Box 756" hidden="1">
              <a:extLst>
                <a:ext uri="{63B3BB69-23CF-44E3-9099-C40C66FF867C}">
                  <a14:compatExt spid="_x0000_s19188"/>
                </a:ext>
                <a:ext uri="{FF2B5EF4-FFF2-40B4-BE49-F238E27FC236}">
                  <a16:creationId xmlns:a16="http://schemas.microsoft.com/office/drawing/2014/main" id="{00000000-0008-0000-0000-0000F4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189" name="Check Box 757" hidden="1">
              <a:extLst>
                <a:ext uri="{63B3BB69-23CF-44E3-9099-C40C66FF867C}">
                  <a14:compatExt spid="_x0000_s19189"/>
                </a:ext>
                <a:ext uri="{FF2B5EF4-FFF2-40B4-BE49-F238E27FC236}">
                  <a16:creationId xmlns:a16="http://schemas.microsoft.com/office/drawing/2014/main" id="{00000000-0008-0000-0000-0000F5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190" name="Check Box 758" hidden="1">
              <a:extLst>
                <a:ext uri="{63B3BB69-23CF-44E3-9099-C40C66FF867C}">
                  <a14:compatExt spid="_x0000_s19190"/>
                </a:ext>
                <a:ext uri="{FF2B5EF4-FFF2-40B4-BE49-F238E27FC236}">
                  <a16:creationId xmlns:a16="http://schemas.microsoft.com/office/drawing/2014/main" id="{00000000-0008-0000-0000-0000F6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191" name="Check Box 759" hidden="1">
              <a:extLst>
                <a:ext uri="{63B3BB69-23CF-44E3-9099-C40C66FF867C}">
                  <a14:compatExt spid="_x0000_s19191"/>
                </a:ext>
                <a:ext uri="{FF2B5EF4-FFF2-40B4-BE49-F238E27FC236}">
                  <a16:creationId xmlns:a16="http://schemas.microsoft.com/office/drawing/2014/main" id="{00000000-0008-0000-0000-0000F7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192" name="Check Box 760" hidden="1">
              <a:extLst>
                <a:ext uri="{63B3BB69-23CF-44E3-9099-C40C66FF867C}">
                  <a14:compatExt spid="_x0000_s19192"/>
                </a:ext>
                <a:ext uri="{FF2B5EF4-FFF2-40B4-BE49-F238E27FC236}">
                  <a16:creationId xmlns:a16="http://schemas.microsoft.com/office/drawing/2014/main" id="{00000000-0008-0000-0000-0000F8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193" name="Check Box 761" hidden="1">
              <a:extLst>
                <a:ext uri="{63B3BB69-23CF-44E3-9099-C40C66FF867C}">
                  <a14:compatExt spid="_x0000_s19193"/>
                </a:ext>
                <a:ext uri="{FF2B5EF4-FFF2-40B4-BE49-F238E27FC236}">
                  <a16:creationId xmlns:a16="http://schemas.microsoft.com/office/drawing/2014/main" id="{00000000-0008-0000-0000-0000F9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194" name="Check Box 762" hidden="1">
              <a:extLst>
                <a:ext uri="{63B3BB69-23CF-44E3-9099-C40C66FF867C}">
                  <a14:compatExt spid="_x0000_s19194"/>
                </a:ext>
                <a:ext uri="{FF2B5EF4-FFF2-40B4-BE49-F238E27FC236}">
                  <a16:creationId xmlns:a16="http://schemas.microsoft.com/office/drawing/2014/main" id="{00000000-0008-0000-0000-0000FA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195" name="Check Box 763" hidden="1">
              <a:extLst>
                <a:ext uri="{63B3BB69-23CF-44E3-9099-C40C66FF867C}">
                  <a14:compatExt spid="_x0000_s19195"/>
                </a:ext>
                <a:ext uri="{FF2B5EF4-FFF2-40B4-BE49-F238E27FC236}">
                  <a16:creationId xmlns:a16="http://schemas.microsoft.com/office/drawing/2014/main" id="{00000000-0008-0000-0000-0000FB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196" name="Check Box 764" hidden="1">
              <a:extLst>
                <a:ext uri="{63B3BB69-23CF-44E3-9099-C40C66FF867C}">
                  <a14:compatExt spid="_x0000_s19196"/>
                </a:ext>
                <a:ext uri="{FF2B5EF4-FFF2-40B4-BE49-F238E27FC236}">
                  <a16:creationId xmlns:a16="http://schemas.microsoft.com/office/drawing/2014/main" id="{00000000-0008-0000-0000-0000FC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197" name="Check Box 765" hidden="1">
              <a:extLst>
                <a:ext uri="{63B3BB69-23CF-44E3-9099-C40C66FF867C}">
                  <a14:compatExt spid="_x0000_s19197"/>
                </a:ext>
                <a:ext uri="{FF2B5EF4-FFF2-40B4-BE49-F238E27FC236}">
                  <a16:creationId xmlns:a16="http://schemas.microsoft.com/office/drawing/2014/main" id="{00000000-0008-0000-0000-0000FD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198" name="Check Box 766" hidden="1">
              <a:extLst>
                <a:ext uri="{63B3BB69-23CF-44E3-9099-C40C66FF867C}">
                  <a14:compatExt spid="_x0000_s19198"/>
                </a:ext>
                <a:ext uri="{FF2B5EF4-FFF2-40B4-BE49-F238E27FC236}">
                  <a16:creationId xmlns:a16="http://schemas.microsoft.com/office/drawing/2014/main" id="{00000000-0008-0000-0000-0000FE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199" name="Check Box 767" hidden="1">
              <a:extLst>
                <a:ext uri="{63B3BB69-23CF-44E3-9099-C40C66FF867C}">
                  <a14:compatExt spid="_x0000_s19199"/>
                </a:ext>
                <a:ext uri="{FF2B5EF4-FFF2-40B4-BE49-F238E27FC236}">
                  <a16:creationId xmlns:a16="http://schemas.microsoft.com/office/drawing/2014/main" id="{00000000-0008-0000-0000-0000FF4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200" name="Check Box 768" hidden="1">
              <a:extLst>
                <a:ext uri="{63B3BB69-23CF-44E3-9099-C40C66FF867C}">
                  <a14:compatExt spid="_x0000_s19200"/>
                </a:ext>
                <a:ext uri="{FF2B5EF4-FFF2-40B4-BE49-F238E27FC236}">
                  <a16:creationId xmlns:a16="http://schemas.microsoft.com/office/drawing/2014/main" id="{00000000-0008-0000-0000-000000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201" name="Check Box 769" hidden="1">
              <a:extLst>
                <a:ext uri="{63B3BB69-23CF-44E3-9099-C40C66FF867C}">
                  <a14:compatExt spid="_x0000_s19201"/>
                </a:ext>
                <a:ext uri="{FF2B5EF4-FFF2-40B4-BE49-F238E27FC236}">
                  <a16:creationId xmlns:a16="http://schemas.microsoft.com/office/drawing/2014/main" id="{00000000-0008-0000-0000-000001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202" name="Check Box 770" hidden="1">
              <a:extLst>
                <a:ext uri="{63B3BB69-23CF-44E3-9099-C40C66FF867C}">
                  <a14:compatExt spid="_x0000_s19202"/>
                </a:ext>
                <a:ext uri="{FF2B5EF4-FFF2-40B4-BE49-F238E27FC236}">
                  <a16:creationId xmlns:a16="http://schemas.microsoft.com/office/drawing/2014/main" id="{00000000-0008-0000-0000-000002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203" name="Check Box 771" hidden="1">
              <a:extLst>
                <a:ext uri="{63B3BB69-23CF-44E3-9099-C40C66FF867C}">
                  <a14:compatExt spid="_x0000_s19203"/>
                </a:ext>
                <a:ext uri="{FF2B5EF4-FFF2-40B4-BE49-F238E27FC236}">
                  <a16:creationId xmlns:a16="http://schemas.microsoft.com/office/drawing/2014/main" id="{00000000-0008-0000-0000-000003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204" name="Check Box 772" hidden="1">
              <a:extLst>
                <a:ext uri="{63B3BB69-23CF-44E3-9099-C40C66FF867C}">
                  <a14:compatExt spid="_x0000_s19204"/>
                </a:ext>
                <a:ext uri="{FF2B5EF4-FFF2-40B4-BE49-F238E27FC236}">
                  <a16:creationId xmlns:a16="http://schemas.microsoft.com/office/drawing/2014/main" id="{00000000-0008-0000-0000-000004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205" name="Check Box 773" hidden="1">
              <a:extLst>
                <a:ext uri="{63B3BB69-23CF-44E3-9099-C40C66FF867C}">
                  <a14:compatExt spid="_x0000_s19205"/>
                </a:ext>
                <a:ext uri="{FF2B5EF4-FFF2-40B4-BE49-F238E27FC236}">
                  <a16:creationId xmlns:a16="http://schemas.microsoft.com/office/drawing/2014/main" id="{00000000-0008-0000-0000-000005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206" name="Check Box 774" hidden="1">
              <a:extLst>
                <a:ext uri="{63B3BB69-23CF-44E3-9099-C40C66FF867C}">
                  <a14:compatExt spid="_x0000_s19206"/>
                </a:ext>
                <a:ext uri="{FF2B5EF4-FFF2-40B4-BE49-F238E27FC236}">
                  <a16:creationId xmlns:a16="http://schemas.microsoft.com/office/drawing/2014/main" id="{00000000-0008-0000-0000-000006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207" name="Check Box 775" hidden="1">
              <a:extLst>
                <a:ext uri="{63B3BB69-23CF-44E3-9099-C40C66FF867C}">
                  <a14:compatExt spid="_x0000_s19207"/>
                </a:ext>
                <a:ext uri="{FF2B5EF4-FFF2-40B4-BE49-F238E27FC236}">
                  <a16:creationId xmlns:a16="http://schemas.microsoft.com/office/drawing/2014/main" id="{00000000-0008-0000-0000-000007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208" name="Check Box 776" hidden="1">
              <a:extLst>
                <a:ext uri="{63B3BB69-23CF-44E3-9099-C40C66FF867C}">
                  <a14:compatExt spid="_x0000_s19208"/>
                </a:ext>
                <a:ext uri="{FF2B5EF4-FFF2-40B4-BE49-F238E27FC236}">
                  <a16:creationId xmlns:a16="http://schemas.microsoft.com/office/drawing/2014/main" id="{00000000-0008-0000-0000-000008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209" name="Check Box 777" hidden="1">
              <a:extLst>
                <a:ext uri="{63B3BB69-23CF-44E3-9099-C40C66FF867C}">
                  <a14:compatExt spid="_x0000_s19209"/>
                </a:ext>
                <a:ext uri="{FF2B5EF4-FFF2-40B4-BE49-F238E27FC236}">
                  <a16:creationId xmlns:a16="http://schemas.microsoft.com/office/drawing/2014/main" id="{00000000-0008-0000-0000-000009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210" name="Check Box 778" hidden="1">
              <a:extLst>
                <a:ext uri="{63B3BB69-23CF-44E3-9099-C40C66FF867C}">
                  <a14:compatExt spid="_x0000_s19210"/>
                </a:ext>
                <a:ext uri="{FF2B5EF4-FFF2-40B4-BE49-F238E27FC236}">
                  <a16:creationId xmlns:a16="http://schemas.microsoft.com/office/drawing/2014/main" id="{00000000-0008-0000-0000-00000A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211" name="Check Box 779" hidden="1">
              <a:extLst>
                <a:ext uri="{63B3BB69-23CF-44E3-9099-C40C66FF867C}">
                  <a14:compatExt spid="_x0000_s19211"/>
                </a:ext>
                <a:ext uri="{FF2B5EF4-FFF2-40B4-BE49-F238E27FC236}">
                  <a16:creationId xmlns:a16="http://schemas.microsoft.com/office/drawing/2014/main" id="{00000000-0008-0000-0000-00000B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212" name="Check Box 780" hidden="1">
              <a:extLst>
                <a:ext uri="{63B3BB69-23CF-44E3-9099-C40C66FF867C}">
                  <a14:compatExt spid="_x0000_s19212"/>
                </a:ext>
                <a:ext uri="{FF2B5EF4-FFF2-40B4-BE49-F238E27FC236}">
                  <a16:creationId xmlns:a16="http://schemas.microsoft.com/office/drawing/2014/main" id="{00000000-0008-0000-0000-00000C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213" name="Check Box 781" hidden="1">
              <a:extLst>
                <a:ext uri="{63B3BB69-23CF-44E3-9099-C40C66FF867C}">
                  <a14:compatExt spid="_x0000_s19213"/>
                </a:ext>
                <a:ext uri="{FF2B5EF4-FFF2-40B4-BE49-F238E27FC236}">
                  <a16:creationId xmlns:a16="http://schemas.microsoft.com/office/drawing/2014/main" id="{00000000-0008-0000-0000-00000D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214" name="Check Box 782" hidden="1">
              <a:extLst>
                <a:ext uri="{63B3BB69-23CF-44E3-9099-C40C66FF867C}">
                  <a14:compatExt spid="_x0000_s19214"/>
                </a:ext>
                <a:ext uri="{FF2B5EF4-FFF2-40B4-BE49-F238E27FC236}">
                  <a16:creationId xmlns:a16="http://schemas.microsoft.com/office/drawing/2014/main" id="{00000000-0008-0000-0000-00000E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215" name="Check Box 783" hidden="1">
              <a:extLst>
                <a:ext uri="{63B3BB69-23CF-44E3-9099-C40C66FF867C}">
                  <a14:compatExt spid="_x0000_s19215"/>
                </a:ext>
                <a:ext uri="{FF2B5EF4-FFF2-40B4-BE49-F238E27FC236}">
                  <a16:creationId xmlns:a16="http://schemas.microsoft.com/office/drawing/2014/main" id="{00000000-0008-0000-0000-00000F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216" name="Check Box 784" hidden="1">
              <a:extLst>
                <a:ext uri="{63B3BB69-23CF-44E3-9099-C40C66FF867C}">
                  <a14:compatExt spid="_x0000_s19216"/>
                </a:ext>
                <a:ext uri="{FF2B5EF4-FFF2-40B4-BE49-F238E27FC236}">
                  <a16:creationId xmlns:a16="http://schemas.microsoft.com/office/drawing/2014/main" id="{00000000-0008-0000-0000-000010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217" name="Check Box 785" hidden="1">
              <a:extLst>
                <a:ext uri="{63B3BB69-23CF-44E3-9099-C40C66FF867C}">
                  <a14:compatExt spid="_x0000_s19217"/>
                </a:ext>
                <a:ext uri="{FF2B5EF4-FFF2-40B4-BE49-F238E27FC236}">
                  <a16:creationId xmlns:a16="http://schemas.microsoft.com/office/drawing/2014/main" id="{00000000-0008-0000-0000-000011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218" name="Check Box 786" hidden="1">
              <a:extLst>
                <a:ext uri="{63B3BB69-23CF-44E3-9099-C40C66FF867C}">
                  <a14:compatExt spid="_x0000_s19218"/>
                </a:ext>
                <a:ext uri="{FF2B5EF4-FFF2-40B4-BE49-F238E27FC236}">
                  <a16:creationId xmlns:a16="http://schemas.microsoft.com/office/drawing/2014/main" id="{00000000-0008-0000-0000-000012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219" name="Check Box 787" hidden="1">
              <a:extLst>
                <a:ext uri="{63B3BB69-23CF-44E3-9099-C40C66FF867C}">
                  <a14:compatExt spid="_x0000_s19219"/>
                </a:ext>
                <a:ext uri="{FF2B5EF4-FFF2-40B4-BE49-F238E27FC236}">
                  <a16:creationId xmlns:a16="http://schemas.microsoft.com/office/drawing/2014/main" id="{00000000-0008-0000-0000-000013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220" name="Check Box 788" hidden="1">
              <a:extLst>
                <a:ext uri="{63B3BB69-23CF-44E3-9099-C40C66FF867C}">
                  <a14:compatExt spid="_x0000_s19220"/>
                </a:ext>
                <a:ext uri="{FF2B5EF4-FFF2-40B4-BE49-F238E27FC236}">
                  <a16:creationId xmlns:a16="http://schemas.microsoft.com/office/drawing/2014/main" id="{00000000-0008-0000-0000-000014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221" name="Check Box 789" hidden="1">
              <a:extLst>
                <a:ext uri="{63B3BB69-23CF-44E3-9099-C40C66FF867C}">
                  <a14:compatExt spid="_x0000_s19221"/>
                </a:ext>
                <a:ext uri="{FF2B5EF4-FFF2-40B4-BE49-F238E27FC236}">
                  <a16:creationId xmlns:a16="http://schemas.microsoft.com/office/drawing/2014/main" id="{00000000-0008-0000-0000-000015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222" name="Check Box 790" hidden="1">
              <a:extLst>
                <a:ext uri="{63B3BB69-23CF-44E3-9099-C40C66FF867C}">
                  <a14:compatExt spid="_x0000_s19222"/>
                </a:ext>
                <a:ext uri="{FF2B5EF4-FFF2-40B4-BE49-F238E27FC236}">
                  <a16:creationId xmlns:a16="http://schemas.microsoft.com/office/drawing/2014/main" id="{00000000-0008-0000-0000-000016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223" name="Check Box 791" hidden="1">
              <a:extLst>
                <a:ext uri="{63B3BB69-23CF-44E3-9099-C40C66FF867C}">
                  <a14:compatExt spid="_x0000_s19223"/>
                </a:ext>
                <a:ext uri="{FF2B5EF4-FFF2-40B4-BE49-F238E27FC236}">
                  <a16:creationId xmlns:a16="http://schemas.microsoft.com/office/drawing/2014/main" id="{00000000-0008-0000-0000-000017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224" name="Check Box 792" hidden="1">
              <a:extLst>
                <a:ext uri="{63B3BB69-23CF-44E3-9099-C40C66FF867C}">
                  <a14:compatExt spid="_x0000_s19224"/>
                </a:ext>
                <a:ext uri="{FF2B5EF4-FFF2-40B4-BE49-F238E27FC236}">
                  <a16:creationId xmlns:a16="http://schemas.microsoft.com/office/drawing/2014/main" id="{00000000-0008-0000-0000-000018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225" name="Check Box 793" hidden="1">
              <a:extLst>
                <a:ext uri="{63B3BB69-23CF-44E3-9099-C40C66FF867C}">
                  <a14:compatExt spid="_x0000_s19225"/>
                </a:ext>
                <a:ext uri="{FF2B5EF4-FFF2-40B4-BE49-F238E27FC236}">
                  <a16:creationId xmlns:a16="http://schemas.microsoft.com/office/drawing/2014/main" id="{00000000-0008-0000-0000-000019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226" name="Check Box 794" hidden="1">
              <a:extLst>
                <a:ext uri="{63B3BB69-23CF-44E3-9099-C40C66FF867C}">
                  <a14:compatExt spid="_x0000_s19226"/>
                </a:ext>
                <a:ext uri="{FF2B5EF4-FFF2-40B4-BE49-F238E27FC236}">
                  <a16:creationId xmlns:a16="http://schemas.microsoft.com/office/drawing/2014/main" id="{00000000-0008-0000-0000-00001A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227" name="Check Box 795" hidden="1">
              <a:extLst>
                <a:ext uri="{63B3BB69-23CF-44E3-9099-C40C66FF867C}">
                  <a14:compatExt spid="_x0000_s19227"/>
                </a:ext>
                <a:ext uri="{FF2B5EF4-FFF2-40B4-BE49-F238E27FC236}">
                  <a16:creationId xmlns:a16="http://schemas.microsoft.com/office/drawing/2014/main" id="{00000000-0008-0000-0000-00001B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228" name="Check Box 796" hidden="1">
              <a:extLst>
                <a:ext uri="{63B3BB69-23CF-44E3-9099-C40C66FF867C}">
                  <a14:compatExt spid="_x0000_s19228"/>
                </a:ext>
                <a:ext uri="{FF2B5EF4-FFF2-40B4-BE49-F238E27FC236}">
                  <a16:creationId xmlns:a16="http://schemas.microsoft.com/office/drawing/2014/main" id="{00000000-0008-0000-0000-00001C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229" name="Check Box 797" hidden="1">
              <a:extLst>
                <a:ext uri="{63B3BB69-23CF-44E3-9099-C40C66FF867C}">
                  <a14:compatExt spid="_x0000_s19229"/>
                </a:ext>
                <a:ext uri="{FF2B5EF4-FFF2-40B4-BE49-F238E27FC236}">
                  <a16:creationId xmlns:a16="http://schemas.microsoft.com/office/drawing/2014/main" id="{00000000-0008-0000-0000-00001D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230" name="Check Box 798" hidden="1">
              <a:extLst>
                <a:ext uri="{63B3BB69-23CF-44E3-9099-C40C66FF867C}">
                  <a14:compatExt spid="_x0000_s19230"/>
                </a:ext>
                <a:ext uri="{FF2B5EF4-FFF2-40B4-BE49-F238E27FC236}">
                  <a16:creationId xmlns:a16="http://schemas.microsoft.com/office/drawing/2014/main" id="{00000000-0008-0000-0000-00001E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231" name="Check Box 799" hidden="1">
              <a:extLst>
                <a:ext uri="{63B3BB69-23CF-44E3-9099-C40C66FF867C}">
                  <a14:compatExt spid="_x0000_s19231"/>
                </a:ext>
                <a:ext uri="{FF2B5EF4-FFF2-40B4-BE49-F238E27FC236}">
                  <a16:creationId xmlns:a16="http://schemas.microsoft.com/office/drawing/2014/main" id="{00000000-0008-0000-0000-00001F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232" name="Check Box 800" hidden="1">
              <a:extLst>
                <a:ext uri="{63B3BB69-23CF-44E3-9099-C40C66FF867C}">
                  <a14:compatExt spid="_x0000_s19232"/>
                </a:ext>
                <a:ext uri="{FF2B5EF4-FFF2-40B4-BE49-F238E27FC236}">
                  <a16:creationId xmlns:a16="http://schemas.microsoft.com/office/drawing/2014/main" id="{00000000-0008-0000-0000-000020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233" name="Check Box 801" hidden="1">
              <a:extLst>
                <a:ext uri="{63B3BB69-23CF-44E3-9099-C40C66FF867C}">
                  <a14:compatExt spid="_x0000_s19233"/>
                </a:ext>
                <a:ext uri="{FF2B5EF4-FFF2-40B4-BE49-F238E27FC236}">
                  <a16:creationId xmlns:a16="http://schemas.microsoft.com/office/drawing/2014/main" id="{00000000-0008-0000-0000-000021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234" name="Check Box 802" hidden="1">
              <a:extLst>
                <a:ext uri="{63B3BB69-23CF-44E3-9099-C40C66FF867C}">
                  <a14:compatExt spid="_x0000_s19234"/>
                </a:ext>
                <a:ext uri="{FF2B5EF4-FFF2-40B4-BE49-F238E27FC236}">
                  <a16:creationId xmlns:a16="http://schemas.microsoft.com/office/drawing/2014/main" id="{00000000-0008-0000-0000-000022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235" name="Check Box 803" hidden="1">
              <a:extLst>
                <a:ext uri="{63B3BB69-23CF-44E3-9099-C40C66FF867C}">
                  <a14:compatExt spid="_x0000_s19235"/>
                </a:ext>
                <a:ext uri="{FF2B5EF4-FFF2-40B4-BE49-F238E27FC236}">
                  <a16:creationId xmlns:a16="http://schemas.microsoft.com/office/drawing/2014/main" id="{00000000-0008-0000-0000-000023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236" name="Check Box 804" hidden="1">
              <a:extLst>
                <a:ext uri="{63B3BB69-23CF-44E3-9099-C40C66FF867C}">
                  <a14:compatExt spid="_x0000_s19236"/>
                </a:ext>
                <a:ext uri="{FF2B5EF4-FFF2-40B4-BE49-F238E27FC236}">
                  <a16:creationId xmlns:a16="http://schemas.microsoft.com/office/drawing/2014/main" id="{00000000-0008-0000-0000-000024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237" name="Check Box 805" hidden="1">
              <a:extLst>
                <a:ext uri="{63B3BB69-23CF-44E3-9099-C40C66FF867C}">
                  <a14:compatExt spid="_x0000_s19237"/>
                </a:ext>
                <a:ext uri="{FF2B5EF4-FFF2-40B4-BE49-F238E27FC236}">
                  <a16:creationId xmlns:a16="http://schemas.microsoft.com/office/drawing/2014/main" id="{00000000-0008-0000-0000-000025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238" name="Check Box 806" hidden="1">
              <a:extLst>
                <a:ext uri="{63B3BB69-23CF-44E3-9099-C40C66FF867C}">
                  <a14:compatExt spid="_x0000_s19238"/>
                </a:ext>
                <a:ext uri="{FF2B5EF4-FFF2-40B4-BE49-F238E27FC236}">
                  <a16:creationId xmlns:a16="http://schemas.microsoft.com/office/drawing/2014/main" id="{00000000-0008-0000-0000-000026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239" name="Check Box 807" hidden="1">
              <a:extLst>
                <a:ext uri="{63B3BB69-23CF-44E3-9099-C40C66FF867C}">
                  <a14:compatExt spid="_x0000_s19239"/>
                </a:ext>
                <a:ext uri="{FF2B5EF4-FFF2-40B4-BE49-F238E27FC236}">
                  <a16:creationId xmlns:a16="http://schemas.microsoft.com/office/drawing/2014/main" id="{00000000-0008-0000-0000-000027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240" name="Check Box 808" hidden="1">
              <a:extLst>
                <a:ext uri="{63B3BB69-23CF-44E3-9099-C40C66FF867C}">
                  <a14:compatExt spid="_x0000_s19240"/>
                </a:ext>
                <a:ext uri="{FF2B5EF4-FFF2-40B4-BE49-F238E27FC236}">
                  <a16:creationId xmlns:a16="http://schemas.microsoft.com/office/drawing/2014/main" id="{00000000-0008-0000-0000-000028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241" name="Check Box 809" hidden="1">
              <a:extLst>
                <a:ext uri="{63B3BB69-23CF-44E3-9099-C40C66FF867C}">
                  <a14:compatExt spid="_x0000_s19241"/>
                </a:ext>
                <a:ext uri="{FF2B5EF4-FFF2-40B4-BE49-F238E27FC236}">
                  <a16:creationId xmlns:a16="http://schemas.microsoft.com/office/drawing/2014/main" id="{00000000-0008-0000-0000-000029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242" name="Check Box 810" hidden="1">
              <a:extLst>
                <a:ext uri="{63B3BB69-23CF-44E3-9099-C40C66FF867C}">
                  <a14:compatExt spid="_x0000_s19242"/>
                </a:ext>
                <a:ext uri="{FF2B5EF4-FFF2-40B4-BE49-F238E27FC236}">
                  <a16:creationId xmlns:a16="http://schemas.microsoft.com/office/drawing/2014/main" id="{00000000-0008-0000-0000-00002A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243" name="Check Box 811" hidden="1">
              <a:extLst>
                <a:ext uri="{63B3BB69-23CF-44E3-9099-C40C66FF867C}">
                  <a14:compatExt spid="_x0000_s19243"/>
                </a:ext>
                <a:ext uri="{FF2B5EF4-FFF2-40B4-BE49-F238E27FC236}">
                  <a16:creationId xmlns:a16="http://schemas.microsoft.com/office/drawing/2014/main" id="{00000000-0008-0000-0000-00002B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244" name="Check Box 812" hidden="1">
              <a:extLst>
                <a:ext uri="{63B3BB69-23CF-44E3-9099-C40C66FF867C}">
                  <a14:compatExt spid="_x0000_s19244"/>
                </a:ext>
                <a:ext uri="{FF2B5EF4-FFF2-40B4-BE49-F238E27FC236}">
                  <a16:creationId xmlns:a16="http://schemas.microsoft.com/office/drawing/2014/main" id="{00000000-0008-0000-0000-00002C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245" name="Check Box 813" hidden="1">
              <a:extLst>
                <a:ext uri="{63B3BB69-23CF-44E3-9099-C40C66FF867C}">
                  <a14:compatExt spid="_x0000_s19245"/>
                </a:ext>
                <a:ext uri="{FF2B5EF4-FFF2-40B4-BE49-F238E27FC236}">
                  <a16:creationId xmlns:a16="http://schemas.microsoft.com/office/drawing/2014/main" id="{00000000-0008-0000-0000-00002D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246" name="Check Box 814" hidden="1">
              <a:extLst>
                <a:ext uri="{63B3BB69-23CF-44E3-9099-C40C66FF867C}">
                  <a14:compatExt spid="_x0000_s19246"/>
                </a:ext>
                <a:ext uri="{FF2B5EF4-FFF2-40B4-BE49-F238E27FC236}">
                  <a16:creationId xmlns:a16="http://schemas.microsoft.com/office/drawing/2014/main" id="{00000000-0008-0000-0000-00002E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247" name="Check Box 815" hidden="1">
              <a:extLst>
                <a:ext uri="{63B3BB69-23CF-44E3-9099-C40C66FF867C}">
                  <a14:compatExt spid="_x0000_s19247"/>
                </a:ext>
                <a:ext uri="{FF2B5EF4-FFF2-40B4-BE49-F238E27FC236}">
                  <a16:creationId xmlns:a16="http://schemas.microsoft.com/office/drawing/2014/main" id="{00000000-0008-0000-0000-00002F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248" name="Check Box 816" hidden="1">
              <a:extLst>
                <a:ext uri="{63B3BB69-23CF-44E3-9099-C40C66FF867C}">
                  <a14:compatExt spid="_x0000_s19248"/>
                </a:ext>
                <a:ext uri="{FF2B5EF4-FFF2-40B4-BE49-F238E27FC236}">
                  <a16:creationId xmlns:a16="http://schemas.microsoft.com/office/drawing/2014/main" id="{00000000-0008-0000-0000-000030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249" name="Check Box 817" hidden="1">
              <a:extLst>
                <a:ext uri="{63B3BB69-23CF-44E3-9099-C40C66FF867C}">
                  <a14:compatExt spid="_x0000_s19249"/>
                </a:ext>
                <a:ext uri="{FF2B5EF4-FFF2-40B4-BE49-F238E27FC236}">
                  <a16:creationId xmlns:a16="http://schemas.microsoft.com/office/drawing/2014/main" id="{00000000-0008-0000-0000-000031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250" name="Check Box 818" hidden="1">
              <a:extLst>
                <a:ext uri="{63B3BB69-23CF-44E3-9099-C40C66FF867C}">
                  <a14:compatExt spid="_x0000_s19250"/>
                </a:ext>
                <a:ext uri="{FF2B5EF4-FFF2-40B4-BE49-F238E27FC236}">
                  <a16:creationId xmlns:a16="http://schemas.microsoft.com/office/drawing/2014/main" id="{00000000-0008-0000-0000-000032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251" name="Check Box 819" hidden="1">
              <a:extLst>
                <a:ext uri="{63B3BB69-23CF-44E3-9099-C40C66FF867C}">
                  <a14:compatExt spid="_x0000_s19251"/>
                </a:ext>
                <a:ext uri="{FF2B5EF4-FFF2-40B4-BE49-F238E27FC236}">
                  <a16:creationId xmlns:a16="http://schemas.microsoft.com/office/drawing/2014/main" id="{00000000-0008-0000-0000-000033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252" name="Check Box 820" hidden="1">
              <a:extLst>
                <a:ext uri="{63B3BB69-23CF-44E3-9099-C40C66FF867C}">
                  <a14:compatExt spid="_x0000_s19252"/>
                </a:ext>
                <a:ext uri="{FF2B5EF4-FFF2-40B4-BE49-F238E27FC236}">
                  <a16:creationId xmlns:a16="http://schemas.microsoft.com/office/drawing/2014/main" id="{00000000-0008-0000-0000-000034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253" name="Check Box 821" hidden="1">
              <a:extLst>
                <a:ext uri="{63B3BB69-23CF-44E3-9099-C40C66FF867C}">
                  <a14:compatExt spid="_x0000_s19253"/>
                </a:ext>
                <a:ext uri="{FF2B5EF4-FFF2-40B4-BE49-F238E27FC236}">
                  <a16:creationId xmlns:a16="http://schemas.microsoft.com/office/drawing/2014/main" id="{00000000-0008-0000-0000-000035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254" name="Check Box 822" hidden="1">
              <a:extLst>
                <a:ext uri="{63B3BB69-23CF-44E3-9099-C40C66FF867C}">
                  <a14:compatExt spid="_x0000_s19254"/>
                </a:ext>
                <a:ext uri="{FF2B5EF4-FFF2-40B4-BE49-F238E27FC236}">
                  <a16:creationId xmlns:a16="http://schemas.microsoft.com/office/drawing/2014/main" id="{00000000-0008-0000-0000-000036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255" name="Check Box 823" hidden="1">
              <a:extLst>
                <a:ext uri="{63B3BB69-23CF-44E3-9099-C40C66FF867C}">
                  <a14:compatExt spid="_x0000_s19255"/>
                </a:ext>
                <a:ext uri="{FF2B5EF4-FFF2-40B4-BE49-F238E27FC236}">
                  <a16:creationId xmlns:a16="http://schemas.microsoft.com/office/drawing/2014/main" id="{00000000-0008-0000-0000-000037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256" name="Check Box 824" hidden="1">
              <a:extLst>
                <a:ext uri="{63B3BB69-23CF-44E3-9099-C40C66FF867C}">
                  <a14:compatExt spid="_x0000_s19256"/>
                </a:ext>
                <a:ext uri="{FF2B5EF4-FFF2-40B4-BE49-F238E27FC236}">
                  <a16:creationId xmlns:a16="http://schemas.microsoft.com/office/drawing/2014/main" id="{00000000-0008-0000-0000-000038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257" name="Check Box 825" hidden="1">
              <a:extLst>
                <a:ext uri="{63B3BB69-23CF-44E3-9099-C40C66FF867C}">
                  <a14:compatExt spid="_x0000_s19257"/>
                </a:ext>
                <a:ext uri="{FF2B5EF4-FFF2-40B4-BE49-F238E27FC236}">
                  <a16:creationId xmlns:a16="http://schemas.microsoft.com/office/drawing/2014/main" id="{00000000-0008-0000-0000-000039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258" name="Check Box 826" hidden="1">
              <a:extLst>
                <a:ext uri="{63B3BB69-23CF-44E3-9099-C40C66FF867C}">
                  <a14:compatExt spid="_x0000_s19258"/>
                </a:ext>
                <a:ext uri="{FF2B5EF4-FFF2-40B4-BE49-F238E27FC236}">
                  <a16:creationId xmlns:a16="http://schemas.microsoft.com/office/drawing/2014/main" id="{00000000-0008-0000-0000-00003A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259" name="Check Box 827" hidden="1">
              <a:extLst>
                <a:ext uri="{63B3BB69-23CF-44E3-9099-C40C66FF867C}">
                  <a14:compatExt spid="_x0000_s19259"/>
                </a:ext>
                <a:ext uri="{FF2B5EF4-FFF2-40B4-BE49-F238E27FC236}">
                  <a16:creationId xmlns:a16="http://schemas.microsoft.com/office/drawing/2014/main" id="{00000000-0008-0000-0000-00003B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981075</xdr:colOff>
          <xdr:row>9</xdr:row>
          <xdr:rowOff>28575</xdr:rowOff>
        </xdr:to>
        <xdr:sp macro="" textlink="">
          <xdr:nvSpPr>
            <xdr:cNvPr id="19265" name="Check Box 833" hidden="1">
              <a:extLst>
                <a:ext uri="{63B3BB69-23CF-44E3-9099-C40C66FF867C}">
                  <a14:compatExt spid="_x0000_s19265"/>
                </a:ext>
                <a:ext uri="{FF2B5EF4-FFF2-40B4-BE49-F238E27FC236}">
                  <a16:creationId xmlns:a16="http://schemas.microsoft.com/office/drawing/2014/main" id="{00000000-0008-0000-0000-000041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981075</xdr:colOff>
          <xdr:row>10</xdr:row>
          <xdr:rowOff>28575</xdr:rowOff>
        </xdr:to>
        <xdr:sp macro="" textlink="">
          <xdr:nvSpPr>
            <xdr:cNvPr id="19266" name="Check Box 834" hidden="1">
              <a:extLst>
                <a:ext uri="{63B3BB69-23CF-44E3-9099-C40C66FF867C}">
                  <a14:compatExt spid="_x0000_s19266"/>
                </a:ext>
                <a:ext uri="{FF2B5EF4-FFF2-40B4-BE49-F238E27FC236}">
                  <a16:creationId xmlns:a16="http://schemas.microsoft.com/office/drawing/2014/main" id="{00000000-0008-0000-0000-000042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981075</xdr:colOff>
          <xdr:row>11</xdr:row>
          <xdr:rowOff>28575</xdr:rowOff>
        </xdr:to>
        <xdr:sp macro="" textlink="">
          <xdr:nvSpPr>
            <xdr:cNvPr id="19267" name="Check Box 835" hidden="1">
              <a:extLst>
                <a:ext uri="{63B3BB69-23CF-44E3-9099-C40C66FF867C}">
                  <a14:compatExt spid="_x0000_s19267"/>
                </a:ext>
                <a:ext uri="{FF2B5EF4-FFF2-40B4-BE49-F238E27FC236}">
                  <a16:creationId xmlns:a16="http://schemas.microsoft.com/office/drawing/2014/main" id="{00000000-0008-0000-0000-000043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981075</xdr:colOff>
          <xdr:row>12</xdr:row>
          <xdr:rowOff>28575</xdr:rowOff>
        </xdr:to>
        <xdr:sp macro="" textlink="">
          <xdr:nvSpPr>
            <xdr:cNvPr id="19268" name="Check Box 836" hidden="1">
              <a:extLst>
                <a:ext uri="{63B3BB69-23CF-44E3-9099-C40C66FF867C}">
                  <a14:compatExt spid="_x0000_s19268"/>
                </a:ext>
                <a:ext uri="{FF2B5EF4-FFF2-40B4-BE49-F238E27FC236}">
                  <a16:creationId xmlns:a16="http://schemas.microsoft.com/office/drawing/2014/main" id="{00000000-0008-0000-0000-000044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981075</xdr:colOff>
          <xdr:row>13</xdr:row>
          <xdr:rowOff>28575</xdr:rowOff>
        </xdr:to>
        <xdr:sp macro="" textlink="">
          <xdr:nvSpPr>
            <xdr:cNvPr id="19269" name="Check Box 837" hidden="1">
              <a:extLst>
                <a:ext uri="{63B3BB69-23CF-44E3-9099-C40C66FF867C}">
                  <a14:compatExt spid="_x0000_s19269"/>
                </a:ext>
                <a:ext uri="{FF2B5EF4-FFF2-40B4-BE49-F238E27FC236}">
                  <a16:creationId xmlns:a16="http://schemas.microsoft.com/office/drawing/2014/main" id="{00000000-0008-0000-0000-000045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981075</xdr:colOff>
          <xdr:row>14</xdr:row>
          <xdr:rowOff>28575</xdr:rowOff>
        </xdr:to>
        <xdr:sp macro="" textlink="">
          <xdr:nvSpPr>
            <xdr:cNvPr id="19270" name="Check Box 838" hidden="1">
              <a:extLst>
                <a:ext uri="{63B3BB69-23CF-44E3-9099-C40C66FF867C}">
                  <a14:compatExt spid="_x0000_s19270"/>
                </a:ext>
                <a:ext uri="{FF2B5EF4-FFF2-40B4-BE49-F238E27FC236}">
                  <a16:creationId xmlns:a16="http://schemas.microsoft.com/office/drawing/2014/main" id="{00000000-0008-0000-0000-000046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981075</xdr:colOff>
          <xdr:row>15</xdr:row>
          <xdr:rowOff>28575</xdr:rowOff>
        </xdr:to>
        <xdr:sp macro="" textlink="">
          <xdr:nvSpPr>
            <xdr:cNvPr id="19271" name="Check Box 839" hidden="1">
              <a:extLst>
                <a:ext uri="{63B3BB69-23CF-44E3-9099-C40C66FF867C}">
                  <a14:compatExt spid="_x0000_s19271"/>
                </a:ext>
                <a:ext uri="{FF2B5EF4-FFF2-40B4-BE49-F238E27FC236}">
                  <a16:creationId xmlns:a16="http://schemas.microsoft.com/office/drawing/2014/main" id="{00000000-0008-0000-0000-000047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981075</xdr:colOff>
          <xdr:row>16</xdr:row>
          <xdr:rowOff>28575</xdr:rowOff>
        </xdr:to>
        <xdr:sp macro="" textlink="">
          <xdr:nvSpPr>
            <xdr:cNvPr id="19272" name="Check Box 840" hidden="1">
              <a:extLst>
                <a:ext uri="{63B3BB69-23CF-44E3-9099-C40C66FF867C}">
                  <a14:compatExt spid="_x0000_s19272"/>
                </a:ext>
                <a:ext uri="{FF2B5EF4-FFF2-40B4-BE49-F238E27FC236}">
                  <a16:creationId xmlns:a16="http://schemas.microsoft.com/office/drawing/2014/main" id="{00000000-0008-0000-0000-000048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981075</xdr:colOff>
          <xdr:row>17</xdr:row>
          <xdr:rowOff>28575</xdr:rowOff>
        </xdr:to>
        <xdr:sp macro="" textlink="">
          <xdr:nvSpPr>
            <xdr:cNvPr id="19273" name="Check Box 841" hidden="1">
              <a:extLst>
                <a:ext uri="{63B3BB69-23CF-44E3-9099-C40C66FF867C}">
                  <a14:compatExt spid="_x0000_s19273"/>
                </a:ext>
                <a:ext uri="{FF2B5EF4-FFF2-40B4-BE49-F238E27FC236}">
                  <a16:creationId xmlns:a16="http://schemas.microsoft.com/office/drawing/2014/main" id="{00000000-0008-0000-0000-000049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981075</xdr:colOff>
          <xdr:row>18</xdr:row>
          <xdr:rowOff>28575</xdr:rowOff>
        </xdr:to>
        <xdr:sp macro="" textlink="">
          <xdr:nvSpPr>
            <xdr:cNvPr id="19274" name="Check Box 842" hidden="1">
              <a:extLst>
                <a:ext uri="{63B3BB69-23CF-44E3-9099-C40C66FF867C}">
                  <a14:compatExt spid="_x0000_s19274"/>
                </a:ext>
                <a:ext uri="{FF2B5EF4-FFF2-40B4-BE49-F238E27FC236}">
                  <a16:creationId xmlns:a16="http://schemas.microsoft.com/office/drawing/2014/main" id="{00000000-0008-0000-0000-00004A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498694</xdr:colOff>
          <xdr:row>36</xdr:row>
          <xdr:rowOff>0</xdr:rowOff>
        </xdr:from>
        <xdr:to>
          <xdr:col>10</xdr:col>
          <xdr:colOff>0</xdr:colOff>
          <xdr:row>44</xdr:row>
          <xdr:rowOff>164662</xdr:rowOff>
        </xdr:to>
        <xdr:grpSp>
          <xdr:nvGrpSpPr>
            <xdr:cNvPr id="3" name="グループ化 2">
              <a:extLst>
                <a:ext uri="{FF2B5EF4-FFF2-40B4-BE49-F238E27FC236}">
                  <a16:creationId xmlns:a16="http://schemas.microsoft.com/office/drawing/2014/main" id="{7C1AB46B-1089-8B6A-31A2-C0D91DAB5661}"/>
                </a:ext>
              </a:extLst>
            </xdr:cNvPr>
            <xdr:cNvGrpSpPr/>
          </xdr:nvGrpSpPr>
          <xdr:grpSpPr>
            <a:xfrm>
              <a:off x="9957019" y="8724900"/>
              <a:ext cx="2968406" cy="2069662"/>
              <a:chOff x="11195817" y="9896913"/>
              <a:chExt cx="2960961" cy="2091559"/>
            </a:xfrm>
          </xdr:grpSpPr>
          <xdr:sp macro="" textlink="">
            <xdr:nvSpPr>
              <xdr:cNvPr id="18708" name="Button 276" hidden="1">
                <a:extLst>
                  <a:ext uri="{63B3BB69-23CF-44E3-9099-C40C66FF867C}">
                    <a14:compatExt spid="_x0000_s18708"/>
                  </a:ext>
                  <a:ext uri="{FF2B5EF4-FFF2-40B4-BE49-F238E27FC236}">
                    <a16:creationId xmlns:a16="http://schemas.microsoft.com/office/drawing/2014/main" id="{00000000-0008-0000-0000-000014490000}"/>
                  </a:ext>
                </a:extLst>
              </xdr:cNvPr>
              <xdr:cNvSpPr/>
            </xdr:nvSpPr>
            <xdr:spPr bwMode="auto">
              <a:xfrm>
                <a:off x="12815724" y="11465911"/>
                <a:ext cx="1339083" cy="522561"/>
              </a:xfrm>
              <a:prstGeom prst="rect">
                <a:avLst/>
              </a:prstGeom>
              <a:noFill/>
              <a:ln w="9525">
                <a:miter lim="800000"/>
                <a:headEnd/>
                <a:tailEnd/>
              </a:ln>
            </xdr:spPr>
            <xdr:txBody>
              <a:bodyPr vertOverflow="clip" wrap="square" lIns="45720" tIns="22860" rIns="45720" bIns="22860" anchor="ctr" upright="1"/>
              <a:lstStyle/>
              <a:p>
                <a:pPr algn="ctr" rtl="0">
                  <a:defRPr sz="1000"/>
                </a:pPr>
                <a:r>
                  <a:rPr lang="ja-JP" altLang="en-US" sz="1800" b="1" i="0" u="none" strike="noStrike" baseline="0">
                    <a:solidFill>
                      <a:srgbClr val="000000"/>
                    </a:solidFill>
                    <a:latin typeface="ＭＳ Ｐゴシック"/>
                    <a:ea typeface="ＭＳ Ｐゴシック"/>
                  </a:rPr>
                  <a:t>メモ</a:t>
                </a:r>
              </a:p>
            </xdr:txBody>
          </xdr:sp>
          <xdr:sp macro="" textlink="">
            <xdr:nvSpPr>
              <xdr:cNvPr id="18757" name="Button 325" hidden="1">
                <a:extLst>
                  <a:ext uri="{63B3BB69-23CF-44E3-9099-C40C66FF867C}">
                    <a14:compatExt spid="_x0000_s18757"/>
                  </a:ext>
                  <a:ext uri="{FF2B5EF4-FFF2-40B4-BE49-F238E27FC236}">
                    <a16:creationId xmlns:a16="http://schemas.microsoft.com/office/drawing/2014/main" id="{00000000-0008-0000-0000-000045490000}"/>
                  </a:ext>
                </a:extLst>
              </xdr:cNvPr>
              <xdr:cNvSpPr/>
            </xdr:nvSpPr>
            <xdr:spPr bwMode="auto">
              <a:xfrm>
                <a:off x="12813753" y="10705225"/>
                <a:ext cx="1343025" cy="481724"/>
              </a:xfrm>
              <a:prstGeom prst="rect">
                <a:avLst/>
              </a:prstGeom>
              <a:noFill/>
              <a:ln w="9525">
                <a:miter lim="800000"/>
                <a:headEnd/>
                <a:tailEnd/>
              </a:ln>
            </xdr:spPr>
            <xdr:txBody>
              <a:bodyPr vertOverflow="clip" wrap="square" lIns="45720" tIns="22860" rIns="45720" bIns="22860" anchor="ctr" upright="1"/>
              <a:lstStyle/>
              <a:p>
                <a:pPr algn="ctr" rtl="0">
                  <a:defRPr sz="1000"/>
                </a:pPr>
                <a:r>
                  <a:rPr lang="ja-JP" altLang="en-US" sz="1800" b="1" i="0" u="none" strike="noStrike" baseline="0">
                    <a:solidFill>
                      <a:srgbClr val="000000"/>
                    </a:solidFill>
                    <a:latin typeface="ＭＳ Ｐゴシック"/>
                    <a:ea typeface="ＭＳ Ｐゴシック"/>
                  </a:rPr>
                  <a:t>切貼</a:t>
                </a:r>
              </a:p>
            </xdr:txBody>
          </xdr:sp>
          <xdr:sp macro="" textlink="">
            <xdr:nvSpPr>
              <xdr:cNvPr id="18763" name="Button 331" hidden="1">
                <a:extLst>
                  <a:ext uri="{63B3BB69-23CF-44E3-9099-C40C66FF867C}">
                    <a14:compatExt spid="_x0000_s18763"/>
                  </a:ext>
                  <a:ext uri="{FF2B5EF4-FFF2-40B4-BE49-F238E27FC236}">
                    <a16:creationId xmlns:a16="http://schemas.microsoft.com/office/drawing/2014/main" id="{00000000-0008-0000-0000-00004B490000}"/>
                  </a:ext>
                </a:extLst>
              </xdr:cNvPr>
              <xdr:cNvSpPr/>
            </xdr:nvSpPr>
            <xdr:spPr bwMode="auto">
              <a:xfrm>
                <a:off x="11200580" y="11465911"/>
                <a:ext cx="1301203" cy="522561"/>
              </a:xfrm>
              <a:prstGeom prst="rect">
                <a:avLst/>
              </a:prstGeom>
              <a:noFill/>
              <a:ln w="9525">
                <a:miter lim="800000"/>
                <a:headEnd/>
                <a:tailEnd/>
              </a:ln>
            </xdr:spPr>
            <xdr:txBody>
              <a:bodyPr vertOverflow="clip" wrap="square" lIns="45720" tIns="22860" rIns="45720" bIns="22860" anchor="ctr" upright="1"/>
              <a:lstStyle/>
              <a:p>
                <a:pPr algn="ctr" rtl="0">
                  <a:defRPr sz="1000"/>
                </a:pPr>
                <a:r>
                  <a:rPr lang="ja-JP" altLang="en-US" sz="1800" b="1" i="0" u="none" strike="noStrike" baseline="0">
                    <a:solidFill>
                      <a:srgbClr val="000000"/>
                    </a:solidFill>
                    <a:latin typeface="ＭＳ Ｐゴシック"/>
                    <a:ea typeface="ＭＳ Ｐゴシック"/>
                  </a:rPr>
                  <a:t>名寄帳</a:t>
                </a:r>
              </a:p>
            </xdr:txBody>
          </xdr:sp>
          <xdr:sp macro="" textlink="">
            <xdr:nvSpPr>
              <xdr:cNvPr id="19286" name="Button 854" hidden="1">
                <a:extLst>
                  <a:ext uri="{63B3BB69-23CF-44E3-9099-C40C66FF867C}">
                    <a14:compatExt spid="_x0000_s19286"/>
                  </a:ext>
                  <a:ext uri="{FF2B5EF4-FFF2-40B4-BE49-F238E27FC236}">
                    <a16:creationId xmlns:a16="http://schemas.microsoft.com/office/drawing/2014/main" id="{00000000-0008-0000-0000-0000564B0000}"/>
                  </a:ext>
                </a:extLst>
              </xdr:cNvPr>
              <xdr:cNvSpPr/>
            </xdr:nvSpPr>
            <xdr:spPr bwMode="auto">
              <a:xfrm>
                <a:off x="12829902" y="9896913"/>
                <a:ext cx="1310727" cy="529349"/>
              </a:xfrm>
              <a:prstGeom prst="rect">
                <a:avLst/>
              </a:prstGeom>
              <a:noFill/>
              <a:ln w="9525">
                <a:miter lim="800000"/>
                <a:headEnd/>
                <a:tailEnd/>
              </a:ln>
            </xdr:spPr>
            <xdr:txBody>
              <a:bodyPr vertOverflow="clip" wrap="square" lIns="45720" tIns="22860" rIns="45720" bIns="22860" anchor="ctr" upright="1"/>
              <a:lstStyle/>
              <a:p>
                <a:pPr algn="ctr" rtl="0">
                  <a:defRPr sz="1000"/>
                </a:pPr>
                <a:r>
                  <a:rPr lang="ja-JP" altLang="en-US" sz="1800" b="1" i="0" u="none" strike="noStrike" baseline="0">
                    <a:solidFill>
                      <a:srgbClr val="000000"/>
                    </a:solidFill>
                    <a:latin typeface="ＭＳ Ｐゴシック"/>
                    <a:ea typeface="ＭＳ Ｐゴシック"/>
                  </a:rPr>
                  <a:t>実費台紙</a:t>
                </a:r>
              </a:p>
            </xdr:txBody>
          </xdr:sp>
          <xdr:sp macro="" textlink="">
            <xdr:nvSpPr>
              <xdr:cNvPr id="19287" name="Button 855" hidden="1">
                <a:extLst>
                  <a:ext uri="{63B3BB69-23CF-44E3-9099-C40C66FF867C}">
                    <a14:compatExt spid="_x0000_s19287"/>
                  </a:ext>
                  <a:ext uri="{FF2B5EF4-FFF2-40B4-BE49-F238E27FC236}">
                    <a16:creationId xmlns:a16="http://schemas.microsoft.com/office/drawing/2014/main" id="{00000000-0008-0000-0000-0000574B0000}"/>
                  </a:ext>
                </a:extLst>
              </xdr:cNvPr>
              <xdr:cNvSpPr/>
            </xdr:nvSpPr>
            <xdr:spPr bwMode="auto">
              <a:xfrm>
                <a:off x="11200580" y="10676649"/>
                <a:ext cx="1301203" cy="538874"/>
              </a:xfrm>
              <a:prstGeom prst="rect">
                <a:avLst/>
              </a:prstGeom>
              <a:noFill/>
              <a:ln w="9525">
                <a:miter lim="800000"/>
                <a:headEnd/>
                <a:tailEnd/>
              </a:ln>
            </xdr:spPr>
            <xdr:txBody>
              <a:bodyPr vertOverflow="clip" wrap="square" lIns="45720" tIns="22860" rIns="45720" bIns="22860" anchor="ctr" upright="1"/>
              <a:lstStyle/>
              <a:p>
                <a:pPr algn="ctr" rtl="0">
                  <a:defRPr sz="1000"/>
                </a:pPr>
                <a:r>
                  <a:rPr lang="ja-JP" altLang="en-US" sz="1800" b="1" i="0" u="none" strike="noStrike" baseline="0">
                    <a:solidFill>
                      <a:srgbClr val="000000"/>
                    </a:solidFill>
                    <a:latin typeface="ＭＳ Ｐゴシック"/>
                    <a:ea typeface="ＭＳ Ｐゴシック"/>
                  </a:rPr>
                  <a:t>戸籍（相）</a:t>
                </a:r>
              </a:p>
            </xdr:txBody>
          </xdr:sp>
          <xdr:sp macro="" textlink="">
            <xdr:nvSpPr>
              <xdr:cNvPr id="19288" name="Button 856" hidden="1">
                <a:extLst>
                  <a:ext uri="{63B3BB69-23CF-44E3-9099-C40C66FF867C}">
                    <a14:compatExt spid="_x0000_s19288"/>
                  </a:ext>
                  <a:ext uri="{FF2B5EF4-FFF2-40B4-BE49-F238E27FC236}">
                    <a16:creationId xmlns:a16="http://schemas.microsoft.com/office/drawing/2014/main" id="{00000000-0008-0000-0000-0000584B0000}"/>
                  </a:ext>
                </a:extLst>
              </xdr:cNvPr>
              <xdr:cNvSpPr/>
            </xdr:nvSpPr>
            <xdr:spPr bwMode="auto">
              <a:xfrm>
                <a:off x="11195817" y="9896913"/>
                <a:ext cx="1310728" cy="529349"/>
              </a:xfrm>
              <a:prstGeom prst="rect">
                <a:avLst/>
              </a:prstGeom>
              <a:noFill/>
              <a:ln w="9525">
                <a:miter lim="800000"/>
                <a:headEnd/>
                <a:tailEnd/>
              </a:ln>
            </xdr:spPr>
            <xdr:txBody>
              <a:bodyPr vertOverflow="clip" wrap="square" lIns="45720" tIns="22860" rIns="45720" bIns="22860" anchor="ctr" upright="1"/>
              <a:lstStyle/>
              <a:p>
                <a:pPr algn="ctr" rtl="0">
                  <a:defRPr sz="1000"/>
                </a:pPr>
                <a:r>
                  <a:rPr lang="ja-JP" altLang="en-US" sz="1800" b="1" i="0" u="none" strike="noStrike" baseline="0">
                    <a:solidFill>
                      <a:srgbClr val="000000"/>
                    </a:solidFill>
                    <a:latin typeface="ＭＳ Ｐゴシック"/>
                    <a:ea typeface="ＭＳ Ｐゴシック"/>
                  </a:rPr>
                  <a:t>戸籍</a:t>
                </a:r>
              </a:p>
            </xdr:txBody>
          </xdr:sp>
        </xdr:grp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981075</xdr:colOff>
          <xdr:row>19</xdr:row>
          <xdr:rowOff>28575</xdr:rowOff>
        </xdr:to>
        <xdr:sp macro="" textlink="">
          <xdr:nvSpPr>
            <xdr:cNvPr id="19275" name="Check Box 843" hidden="1">
              <a:extLst>
                <a:ext uri="{63B3BB69-23CF-44E3-9099-C40C66FF867C}">
                  <a14:compatExt spid="_x0000_s19275"/>
                </a:ext>
                <a:ext uri="{FF2B5EF4-FFF2-40B4-BE49-F238E27FC236}">
                  <a16:creationId xmlns:a16="http://schemas.microsoft.com/office/drawing/2014/main" id="{00000000-0008-0000-0000-00004B4B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21</xdr:row>
          <xdr:rowOff>161925</xdr:rowOff>
        </xdr:from>
        <xdr:to>
          <xdr:col>0</xdr:col>
          <xdr:colOff>247650</xdr:colOff>
          <xdr:row>21</xdr:row>
          <xdr:rowOff>409575</xdr:rowOff>
        </xdr:to>
        <xdr:sp macro="" textlink="">
          <xdr:nvSpPr>
            <xdr:cNvPr id="22529" name="Check Box 1" hidden="1">
              <a:extLst>
                <a:ext uri="{63B3BB69-23CF-44E3-9099-C40C66FF867C}">
                  <a14:compatExt spid="_x0000_s22529"/>
                </a:ext>
                <a:ext uri="{FF2B5EF4-FFF2-40B4-BE49-F238E27FC236}">
                  <a16:creationId xmlns:a16="http://schemas.microsoft.com/office/drawing/2014/main" id="{00000000-0008-0000-0100-00000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161925</xdr:rowOff>
        </xdr:from>
        <xdr:to>
          <xdr:col>0</xdr:col>
          <xdr:colOff>247650</xdr:colOff>
          <xdr:row>22</xdr:row>
          <xdr:rowOff>409575</xdr:rowOff>
        </xdr:to>
        <xdr:sp macro="" textlink="">
          <xdr:nvSpPr>
            <xdr:cNvPr id="22530" name="Check Box 2" hidden="1">
              <a:extLst>
                <a:ext uri="{63B3BB69-23CF-44E3-9099-C40C66FF867C}">
                  <a14:compatExt spid="_x0000_s22530"/>
                </a:ext>
                <a:ext uri="{FF2B5EF4-FFF2-40B4-BE49-F238E27FC236}">
                  <a16:creationId xmlns:a16="http://schemas.microsoft.com/office/drawing/2014/main" id="{00000000-0008-0000-0100-00000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161925</xdr:rowOff>
        </xdr:from>
        <xdr:to>
          <xdr:col>0</xdr:col>
          <xdr:colOff>247650</xdr:colOff>
          <xdr:row>23</xdr:row>
          <xdr:rowOff>409575</xdr:rowOff>
        </xdr:to>
        <xdr:sp macro="" textlink="">
          <xdr:nvSpPr>
            <xdr:cNvPr id="22531" name="Check Box 3" hidden="1">
              <a:extLst>
                <a:ext uri="{63B3BB69-23CF-44E3-9099-C40C66FF867C}">
                  <a14:compatExt spid="_x0000_s22531"/>
                </a:ext>
                <a:ext uri="{FF2B5EF4-FFF2-40B4-BE49-F238E27FC236}">
                  <a16:creationId xmlns:a16="http://schemas.microsoft.com/office/drawing/2014/main" id="{00000000-0008-0000-0100-00000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38100</xdr:colOff>
          <xdr:row>13</xdr:row>
          <xdr:rowOff>19050</xdr:rowOff>
        </xdr:from>
        <xdr:to>
          <xdr:col>5</xdr:col>
          <xdr:colOff>0</xdr:colOff>
          <xdr:row>13</xdr:row>
          <xdr:rowOff>266700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2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14</xdr:row>
          <xdr:rowOff>19050</xdr:rowOff>
        </xdr:from>
        <xdr:to>
          <xdr:col>5</xdr:col>
          <xdr:colOff>0</xdr:colOff>
          <xdr:row>14</xdr:row>
          <xdr:rowOff>266700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2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15</xdr:row>
          <xdr:rowOff>19050</xdr:rowOff>
        </xdr:from>
        <xdr:to>
          <xdr:col>5</xdr:col>
          <xdr:colOff>0</xdr:colOff>
          <xdr:row>15</xdr:row>
          <xdr:rowOff>266700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2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16</xdr:row>
          <xdr:rowOff>19050</xdr:rowOff>
        </xdr:from>
        <xdr:to>
          <xdr:col>5</xdr:col>
          <xdr:colOff>0</xdr:colOff>
          <xdr:row>16</xdr:row>
          <xdr:rowOff>266700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2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17</xdr:row>
          <xdr:rowOff>19050</xdr:rowOff>
        </xdr:from>
        <xdr:to>
          <xdr:col>5</xdr:col>
          <xdr:colOff>0</xdr:colOff>
          <xdr:row>17</xdr:row>
          <xdr:rowOff>266700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2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18</xdr:row>
          <xdr:rowOff>19050</xdr:rowOff>
        </xdr:from>
        <xdr:to>
          <xdr:col>5</xdr:col>
          <xdr:colOff>0</xdr:colOff>
          <xdr:row>18</xdr:row>
          <xdr:rowOff>266700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2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19</xdr:row>
          <xdr:rowOff>19050</xdr:rowOff>
        </xdr:from>
        <xdr:to>
          <xdr:col>5</xdr:col>
          <xdr:colOff>0</xdr:colOff>
          <xdr:row>19</xdr:row>
          <xdr:rowOff>266700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2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20</xdr:row>
          <xdr:rowOff>19050</xdr:rowOff>
        </xdr:from>
        <xdr:to>
          <xdr:col>5</xdr:col>
          <xdr:colOff>0</xdr:colOff>
          <xdr:row>20</xdr:row>
          <xdr:rowOff>266700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2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21</xdr:row>
          <xdr:rowOff>19050</xdr:rowOff>
        </xdr:from>
        <xdr:to>
          <xdr:col>5</xdr:col>
          <xdr:colOff>0</xdr:colOff>
          <xdr:row>21</xdr:row>
          <xdr:rowOff>266700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2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23</xdr:row>
          <xdr:rowOff>19050</xdr:rowOff>
        </xdr:from>
        <xdr:to>
          <xdr:col>5</xdr:col>
          <xdr:colOff>0</xdr:colOff>
          <xdr:row>23</xdr:row>
          <xdr:rowOff>266700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2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32</xdr:row>
          <xdr:rowOff>19050</xdr:rowOff>
        </xdr:from>
        <xdr:to>
          <xdr:col>5</xdr:col>
          <xdr:colOff>0</xdr:colOff>
          <xdr:row>32</xdr:row>
          <xdr:rowOff>266700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2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33</xdr:row>
          <xdr:rowOff>19050</xdr:rowOff>
        </xdr:from>
        <xdr:to>
          <xdr:col>5</xdr:col>
          <xdr:colOff>0</xdr:colOff>
          <xdr:row>33</xdr:row>
          <xdr:rowOff>266700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2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34</xdr:row>
          <xdr:rowOff>19050</xdr:rowOff>
        </xdr:from>
        <xdr:to>
          <xdr:col>5</xdr:col>
          <xdr:colOff>0</xdr:colOff>
          <xdr:row>34</xdr:row>
          <xdr:rowOff>266700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2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35</xdr:row>
          <xdr:rowOff>19050</xdr:rowOff>
        </xdr:from>
        <xdr:to>
          <xdr:col>5</xdr:col>
          <xdr:colOff>0</xdr:colOff>
          <xdr:row>35</xdr:row>
          <xdr:rowOff>266700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2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8</xdr:row>
          <xdr:rowOff>19050</xdr:rowOff>
        </xdr:from>
        <xdr:to>
          <xdr:col>5</xdr:col>
          <xdr:colOff>0</xdr:colOff>
          <xdr:row>8</xdr:row>
          <xdr:rowOff>266700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2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8</xdr:row>
          <xdr:rowOff>19050</xdr:rowOff>
        </xdr:from>
        <xdr:to>
          <xdr:col>9</xdr:col>
          <xdr:colOff>0</xdr:colOff>
          <xdr:row>8</xdr:row>
          <xdr:rowOff>266700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2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8</xdr:row>
          <xdr:rowOff>19050</xdr:rowOff>
        </xdr:from>
        <xdr:to>
          <xdr:col>17</xdr:col>
          <xdr:colOff>0</xdr:colOff>
          <xdr:row>8</xdr:row>
          <xdr:rowOff>266700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2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9</xdr:row>
          <xdr:rowOff>19050</xdr:rowOff>
        </xdr:from>
        <xdr:to>
          <xdr:col>5</xdr:col>
          <xdr:colOff>0</xdr:colOff>
          <xdr:row>9</xdr:row>
          <xdr:rowOff>266700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2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9</xdr:row>
          <xdr:rowOff>19050</xdr:rowOff>
        </xdr:from>
        <xdr:to>
          <xdr:col>17</xdr:col>
          <xdr:colOff>0</xdr:colOff>
          <xdr:row>9</xdr:row>
          <xdr:rowOff>266700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2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10</xdr:row>
          <xdr:rowOff>19050</xdr:rowOff>
        </xdr:from>
        <xdr:to>
          <xdr:col>5</xdr:col>
          <xdr:colOff>0</xdr:colOff>
          <xdr:row>10</xdr:row>
          <xdr:rowOff>266700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2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12</xdr:row>
          <xdr:rowOff>19050</xdr:rowOff>
        </xdr:from>
        <xdr:to>
          <xdr:col>5</xdr:col>
          <xdr:colOff>0</xdr:colOff>
          <xdr:row>12</xdr:row>
          <xdr:rowOff>266700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2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11</xdr:row>
          <xdr:rowOff>19050</xdr:rowOff>
        </xdr:from>
        <xdr:to>
          <xdr:col>5</xdr:col>
          <xdr:colOff>0</xdr:colOff>
          <xdr:row>11</xdr:row>
          <xdr:rowOff>266700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2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38100</xdr:colOff>
          <xdr:row>10</xdr:row>
          <xdr:rowOff>19050</xdr:rowOff>
        </xdr:from>
        <xdr:to>
          <xdr:col>14</xdr:col>
          <xdr:colOff>0</xdr:colOff>
          <xdr:row>10</xdr:row>
          <xdr:rowOff>266700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2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22</xdr:row>
          <xdr:rowOff>19050</xdr:rowOff>
        </xdr:from>
        <xdr:to>
          <xdr:col>5</xdr:col>
          <xdr:colOff>0</xdr:colOff>
          <xdr:row>22</xdr:row>
          <xdr:rowOff>266700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2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38100</xdr:colOff>
          <xdr:row>12</xdr:row>
          <xdr:rowOff>19050</xdr:rowOff>
        </xdr:from>
        <xdr:to>
          <xdr:col>5</xdr:col>
          <xdr:colOff>0</xdr:colOff>
          <xdr:row>12</xdr:row>
          <xdr:rowOff>266700</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3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13</xdr:row>
          <xdr:rowOff>19050</xdr:rowOff>
        </xdr:from>
        <xdr:to>
          <xdr:col>5</xdr:col>
          <xdr:colOff>0</xdr:colOff>
          <xdr:row>13</xdr:row>
          <xdr:rowOff>266700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3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14</xdr:row>
          <xdr:rowOff>19050</xdr:rowOff>
        </xdr:from>
        <xdr:to>
          <xdr:col>5</xdr:col>
          <xdr:colOff>0</xdr:colOff>
          <xdr:row>14</xdr:row>
          <xdr:rowOff>266700</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300-00000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18</xdr:row>
          <xdr:rowOff>19050</xdr:rowOff>
        </xdr:from>
        <xdr:to>
          <xdr:col>5</xdr:col>
          <xdr:colOff>0</xdr:colOff>
          <xdr:row>18</xdr:row>
          <xdr:rowOff>266700</xdr:rowOff>
        </xdr:to>
        <xdr:sp macro="" textlink="">
          <xdr:nvSpPr>
            <xdr:cNvPr id="12295" name="Check Box 7" hidden="1">
              <a:extLst>
                <a:ext uri="{63B3BB69-23CF-44E3-9099-C40C66FF867C}">
                  <a14:compatExt spid="_x0000_s12295"/>
                </a:ext>
                <a:ext uri="{FF2B5EF4-FFF2-40B4-BE49-F238E27FC236}">
                  <a16:creationId xmlns:a16="http://schemas.microsoft.com/office/drawing/2014/main" id="{00000000-0008-0000-0300-00000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19</xdr:row>
          <xdr:rowOff>19050</xdr:rowOff>
        </xdr:from>
        <xdr:to>
          <xdr:col>5</xdr:col>
          <xdr:colOff>0</xdr:colOff>
          <xdr:row>19</xdr:row>
          <xdr:rowOff>266700</xdr:rowOff>
        </xdr:to>
        <xdr:sp macro="" textlink="">
          <xdr:nvSpPr>
            <xdr:cNvPr id="12296" name="Check Box 8" hidden="1">
              <a:extLst>
                <a:ext uri="{63B3BB69-23CF-44E3-9099-C40C66FF867C}">
                  <a14:compatExt spid="_x0000_s12296"/>
                </a:ext>
                <a:ext uri="{FF2B5EF4-FFF2-40B4-BE49-F238E27FC236}">
                  <a16:creationId xmlns:a16="http://schemas.microsoft.com/office/drawing/2014/main" id="{00000000-0008-0000-0300-00000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20</xdr:row>
          <xdr:rowOff>19050</xdr:rowOff>
        </xdr:from>
        <xdr:to>
          <xdr:col>5</xdr:col>
          <xdr:colOff>0</xdr:colOff>
          <xdr:row>20</xdr:row>
          <xdr:rowOff>266700</xdr:rowOff>
        </xdr:to>
        <xdr:sp macro="" textlink="">
          <xdr:nvSpPr>
            <xdr:cNvPr id="12297" name="Check Box 9" hidden="1">
              <a:extLst>
                <a:ext uri="{63B3BB69-23CF-44E3-9099-C40C66FF867C}">
                  <a14:compatExt spid="_x0000_s12297"/>
                </a:ext>
                <a:ext uri="{FF2B5EF4-FFF2-40B4-BE49-F238E27FC236}">
                  <a16:creationId xmlns:a16="http://schemas.microsoft.com/office/drawing/2014/main" id="{00000000-0008-0000-0300-00000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21</xdr:row>
          <xdr:rowOff>19050</xdr:rowOff>
        </xdr:from>
        <xdr:to>
          <xdr:col>5</xdr:col>
          <xdr:colOff>0</xdr:colOff>
          <xdr:row>21</xdr:row>
          <xdr:rowOff>266700</xdr:rowOff>
        </xdr:to>
        <xdr:sp macro="" textlink="">
          <xdr:nvSpPr>
            <xdr:cNvPr id="12298" name="Check Box 10" hidden="1">
              <a:extLst>
                <a:ext uri="{63B3BB69-23CF-44E3-9099-C40C66FF867C}">
                  <a14:compatExt spid="_x0000_s12298"/>
                </a:ext>
                <a:ext uri="{FF2B5EF4-FFF2-40B4-BE49-F238E27FC236}">
                  <a16:creationId xmlns:a16="http://schemas.microsoft.com/office/drawing/2014/main" id="{00000000-0008-0000-0300-00000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30</xdr:row>
          <xdr:rowOff>19050</xdr:rowOff>
        </xdr:from>
        <xdr:to>
          <xdr:col>5</xdr:col>
          <xdr:colOff>0</xdr:colOff>
          <xdr:row>30</xdr:row>
          <xdr:rowOff>266700</xdr:rowOff>
        </xdr:to>
        <xdr:sp macro="" textlink="">
          <xdr:nvSpPr>
            <xdr:cNvPr id="12299" name="Check Box 11" hidden="1">
              <a:extLst>
                <a:ext uri="{63B3BB69-23CF-44E3-9099-C40C66FF867C}">
                  <a14:compatExt spid="_x0000_s12299"/>
                </a:ext>
                <a:ext uri="{FF2B5EF4-FFF2-40B4-BE49-F238E27FC236}">
                  <a16:creationId xmlns:a16="http://schemas.microsoft.com/office/drawing/2014/main" id="{00000000-0008-0000-0300-00000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31</xdr:row>
          <xdr:rowOff>19050</xdr:rowOff>
        </xdr:from>
        <xdr:to>
          <xdr:col>5</xdr:col>
          <xdr:colOff>0</xdr:colOff>
          <xdr:row>31</xdr:row>
          <xdr:rowOff>266700</xdr:rowOff>
        </xdr:to>
        <xdr:sp macro="" textlink="">
          <xdr:nvSpPr>
            <xdr:cNvPr id="12300" name="Check Box 12" hidden="1">
              <a:extLst>
                <a:ext uri="{63B3BB69-23CF-44E3-9099-C40C66FF867C}">
                  <a14:compatExt spid="_x0000_s12300"/>
                </a:ext>
                <a:ext uri="{FF2B5EF4-FFF2-40B4-BE49-F238E27FC236}">
                  <a16:creationId xmlns:a16="http://schemas.microsoft.com/office/drawing/2014/main" id="{00000000-0008-0000-0300-00000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32</xdr:row>
          <xdr:rowOff>19050</xdr:rowOff>
        </xdr:from>
        <xdr:to>
          <xdr:col>5</xdr:col>
          <xdr:colOff>0</xdr:colOff>
          <xdr:row>32</xdr:row>
          <xdr:rowOff>266700</xdr:rowOff>
        </xdr:to>
        <xdr:sp macro="" textlink="">
          <xdr:nvSpPr>
            <xdr:cNvPr id="12301" name="Check Box 13" hidden="1">
              <a:extLst>
                <a:ext uri="{63B3BB69-23CF-44E3-9099-C40C66FF867C}">
                  <a14:compatExt spid="_x0000_s12301"/>
                </a:ext>
                <a:ext uri="{FF2B5EF4-FFF2-40B4-BE49-F238E27FC236}">
                  <a16:creationId xmlns:a16="http://schemas.microsoft.com/office/drawing/2014/main" id="{00000000-0008-0000-0300-00000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33</xdr:row>
          <xdr:rowOff>19050</xdr:rowOff>
        </xdr:from>
        <xdr:to>
          <xdr:col>5</xdr:col>
          <xdr:colOff>0</xdr:colOff>
          <xdr:row>33</xdr:row>
          <xdr:rowOff>266700</xdr:rowOff>
        </xdr:to>
        <xdr:sp macro="" textlink="">
          <xdr:nvSpPr>
            <xdr:cNvPr id="12302" name="Check Box 14" hidden="1">
              <a:extLst>
                <a:ext uri="{63B3BB69-23CF-44E3-9099-C40C66FF867C}">
                  <a14:compatExt spid="_x0000_s12302"/>
                </a:ext>
                <a:ext uri="{FF2B5EF4-FFF2-40B4-BE49-F238E27FC236}">
                  <a16:creationId xmlns:a16="http://schemas.microsoft.com/office/drawing/2014/main" id="{00000000-0008-0000-0300-00000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7</xdr:row>
          <xdr:rowOff>19050</xdr:rowOff>
        </xdr:from>
        <xdr:to>
          <xdr:col>5</xdr:col>
          <xdr:colOff>0</xdr:colOff>
          <xdr:row>7</xdr:row>
          <xdr:rowOff>266700</xdr:rowOff>
        </xdr:to>
        <xdr:sp macro="" textlink="">
          <xdr:nvSpPr>
            <xdr:cNvPr id="12303" name="Check Box 15" hidden="1">
              <a:extLst>
                <a:ext uri="{63B3BB69-23CF-44E3-9099-C40C66FF867C}">
                  <a14:compatExt spid="_x0000_s12303"/>
                </a:ext>
                <a:ext uri="{FF2B5EF4-FFF2-40B4-BE49-F238E27FC236}">
                  <a16:creationId xmlns:a16="http://schemas.microsoft.com/office/drawing/2014/main" id="{00000000-0008-0000-0300-00000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7</xdr:row>
          <xdr:rowOff>19050</xdr:rowOff>
        </xdr:from>
        <xdr:to>
          <xdr:col>9</xdr:col>
          <xdr:colOff>0</xdr:colOff>
          <xdr:row>7</xdr:row>
          <xdr:rowOff>266700</xdr:rowOff>
        </xdr:to>
        <xdr:sp macro="" textlink="">
          <xdr:nvSpPr>
            <xdr:cNvPr id="12304" name="Check Box 16" hidden="1">
              <a:extLst>
                <a:ext uri="{63B3BB69-23CF-44E3-9099-C40C66FF867C}">
                  <a14:compatExt spid="_x0000_s12304"/>
                </a:ext>
                <a:ext uri="{FF2B5EF4-FFF2-40B4-BE49-F238E27FC236}">
                  <a16:creationId xmlns:a16="http://schemas.microsoft.com/office/drawing/2014/main" id="{00000000-0008-0000-0300-00001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7</xdr:row>
          <xdr:rowOff>19050</xdr:rowOff>
        </xdr:from>
        <xdr:to>
          <xdr:col>17</xdr:col>
          <xdr:colOff>0</xdr:colOff>
          <xdr:row>7</xdr:row>
          <xdr:rowOff>266700</xdr:rowOff>
        </xdr:to>
        <xdr:sp macro="" textlink="">
          <xdr:nvSpPr>
            <xdr:cNvPr id="12305" name="Check Box 17" hidden="1">
              <a:extLst>
                <a:ext uri="{63B3BB69-23CF-44E3-9099-C40C66FF867C}">
                  <a14:compatExt spid="_x0000_s12305"/>
                </a:ext>
                <a:ext uri="{FF2B5EF4-FFF2-40B4-BE49-F238E27FC236}">
                  <a16:creationId xmlns:a16="http://schemas.microsoft.com/office/drawing/2014/main" id="{00000000-0008-0000-0300-00001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8</xdr:row>
          <xdr:rowOff>19050</xdr:rowOff>
        </xdr:from>
        <xdr:to>
          <xdr:col>5</xdr:col>
          <xdr:colOff>0</xdr:colOff>
          <xdr:row>8</xdr:row>
          <xdr:rowOff>266700</xdr:rowOff>
        </xdr:to>
        <xdr:sp macro="" textlink="">
          <xdr:nvSpPr>
            <xdr:cNvPr id="12306" name="Check Box 18" hidden="1">
              <a:extLst>
                <a:ext uri="{63B3BB69-23CF-44E3-9099-C40C66FF867C}">
                  <a14:compatExt spid="_x0000_s12306"/>
                </a:ext>
                <a:ext uri="{FF2B5EF4-FFF2-40B4-BE49-F238E27FC236}">
                  <a16:creationId xmlns:a16="http://schemas.microsoft.com/office/drawing/2014/main" id="{00000000-0008-0000-03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8</xdr:row>
          <xdr:rowOff>19050</xdr:rowOff>
        </xdr:from>
        <xdr:to>
          <xdr:col>17</xdr:col>
          <xdr:colOff>0</xdr:colOff>
          <xdr:row>8</xdr:row>
          <xdr:rowOff>266700</xdr:rowOff>
        </xdr:to>
        <xdr:sp macro="" textlink="">
          <xdr:nvSpPr>
            <xdr:cNvPr id="12307" name="Check Box 19" hidden="1">
              <a:extLst>
                <a:ext uri="{63B3BB69-23CF-44E3-9099-C40C66FF867C}">
                  <a14:compatExt spid="_x0000_s12307"/>
                </a:ext>
                <a:ext uri="{FF2B5EF4-FFF2-40B4-BE49-F238E27FC236}">
                  <a16:creationId xmlns:a16="http://schemas.microsoft.com/office/drawing/2014/main" id="{00000000-0008-0000-03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9</xdr:row>
          <xdr:rowOff>19050</xdr:rowOff>
        </xdr:from>
        <xdr:to>
          <xdr:col>5</xdr:col>
          <xdr:colOff>0</xdr:colOff>
          <xdr:row>9</xdr:row>
          <xdr:rowOff>266700</xdr:rowOff>
        </xdr:to>
        <xdr:sp macro="" textlink="">
          <xdr:nvSpPr>
            <xdr:cNvPr id="12308" name="Check Box 20" hidden="1">
              <a:extLst>
                <a:ext uri="{63B3BB69-23CF-44E3-9099-C40C66FF867C}">
                  <a14:compatExt spid="_x0000_s12308"/>
                </a:ext>
                <a:ext uri="{FF2B5EF4-FFF2-40B4-BE49-F238E27FC236}">
                  <a16:creationId xmlns:a16="http://schemas.microsoft.com/office/drawing/2014/main" id="{00000000-0008-0000-03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11</xdr:row>
          <xdr:rowOff>19050</xdr:rowOff>
        </xdr:from>
        <xdr:to>
          <xdr:col>5</xdr:col>
          <xdr:colOff>0</xdr:colOff>
          <xdr:row>11</xdr:row>
          <xdr:rowOff>266700</xdr:rowOff>
        </xdr:to>
        <xdr:sp macro="" textlink="">
          <xdr:nvSpPr>
            <xdr:cNvPr id="12309" name="Check Box 21" hidden="1">
              <a:extLst>
                <a:ext uri="{63B3BB69-23CF-44E3-9099-C40C66FF867C}">
                  <a14:compatExt spid="_x0000_s12309"/>
                </a:ext>
                <a:ext uri="{FF2B5EF4-FFF2-40B4-BE49-F238E27FC236}">
                  <a16:creationId xmlns:a16="http://schemas.microsoft.com/office/drawing/2014/main" id="{00000000-0008-0000-03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10</xdr:row>
          <xdr:rowOff>19050</xdr:rowOff>
        </xdr:from>
        <xdr:to>
          <xdr:col>5</xdr:col>
          <xdr:colOff>0</xdr:colOff>
          <xdr:row>10</xdr:row>
          <xdr:rowOff>266700</xdr:rowOff>
        </xdr:to>
        <xdr:sp macro="" textlink="">
          <xdr:nvSpPr>
            <xdr:cNvPr id="12310" name="Check Box 22" hidden="1">
              <a:extLst>
                <a:ext uri="{63B3BB69-23CF-44E3-9099-C40C66FF867C}">
                  <a14:compatExt spid="_x0000_s12310"/>
                </a:ext>
                <a:ext uri="{FF2B5EF4-FFF2-40B4-BE49-F238E27FC236}">
                  <a16:creationId xmlns:a16="http://schemas.microsoft.com/office/drawing/2014/main" id="{00000000-0008-0000-03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38100</xdr:colOff>
          <xdr:row>9</xdr:row>
          <xdr:rowOff>19050</xdr:rowOff>
        </xdr:from>
        <xdr:to>
          <xdr:col>14</xdr:col>
          <xdr:colOff>0</xdr:colOff>
          <xdr:row>9</xdr:row>
          <xdr:rowOff>266700</xdr:rowOff>
        </xdr:to>
        <xdr:sp macro="" textlink="">
          <xdr:nvSpPr>
            <xdr:cNvPr id="12311" name="Check Box 23" hidden="1">
              <a:extLst>
                <a:ext uri="{63B3BB69-23CF-44E3-9099-C40C66FF867C}">
                  <a14:compatExt spid="_x0000_s12311"/>
                </a:ext>
                <a:ext uri="{FF2B5EF4-FFF2-40B4-BE49-F238E27FC236}">
                  <a16:creationId xmlns:a16="http://schemas.microsoft.com/office/drawing/2014/main" id="{00000000-0008-0000-0300-00001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38100</xdr:colOff>
          <xdr:row>11</xdr:row>
          <xdr:rowOff>19050</xdr:rowOff>
        </xdr:from>
        <xdr:to>
          <xdr:col>5</xdr:col>
          <xdr:colOff>0</xdr:colOff>
          <xdr:row>11</xdr:row>
          <xdr:rowOff>266700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4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12</xdr:row>
          <xdr:rowOff>19050</xdr:rowOff>
        </xdr:from>
        <xdr:to>
          <xdr:col>5</xdr:col>
          <xdr:colOff>0</xdr:colOff>
          <xdr:row>12</xdr:row>
          <xdr:rowOff>266700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4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13</xdr:row>
          <xdr:rowOff>19050</xdr:rowOff>
        </xdr:from>
        <xdr:to>
          <xdr:col>5</xdr:col>
          <xdr:colOff>0</xdr:colOff>
          <xdr:row>13</xdr:row>
          <xdr:rowOff>266700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4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14</xdr:row>
          <xdr:rowOff>19050</xdr:rowOff>
        </xdr:from>
        <xdr:to>
          <xdr:col>5</xdr:col>
          <xdr:colOff>0</xdr:colOff>
          <xdr:row>14</xdr:row>
          <xdr:rowOff>266700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4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35</xdr:row>
          <xdr:rowOff>19050</xdr:rowOff>
        </xdr:from>
        <xdr:to>
          <xdr:col>5</xdr:col>
          <xdr:colOff>0</xdr:colOff>
          <xdr:row>35</xdr:row>
          <xdr:rowOff>266700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4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36</xdr:row>
          <xdr:rowOff>19050</xdr:rowOff>
        </xdr:from>
        <xdr:to>
          <xdr:col>5</xdr:col>
          <xdr:colOff>0</xdr:colOff>
          <xdr:row>36</xdr:row>
          <xdr:rowOff>266700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4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37</xdr:row>
          <xdr:rowOff>19050</xdr:rowOff>
        </xdr:from>
        <xdr:to>
          <xdr:col>5</xdr:col>
          <xdr:colOff>0</xdr:colOff>
          <xdr:row>37</xdr:row>
          <xdr:rowOff>266700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4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xdr:row>
          <xdr:rowOff>19050</xdr:rowOff>
        </xdr:from>
        <xdr:to>
          <xdr:col>5</xdr:col>
          <xdr:colOff>0</xdr:colOff>
          <xdr:row>5</xdr:row>
          <xdr:rowOff>266700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4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6</xdr:row>
          <xdr:rowOff>19050</xdr:rowOff>
        </xdr:from>
        <xdr:to>
          <xdr:col>5</xdr:col>
          <xdr:colOff>0</xdr:colOff>
          <xdr:row>6</xdr:row>
          <xdr:rowOff>266700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4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7</xdr:row>
          <xdr:rowOff>19050</xdr:rowOff>
        </xdr:from>
        <xdr:to>
          <xdr:col>5</xdr:col>
          <xdr:colOff>0</xdr:colOff>
          <xdr:row>7</xdr:row>
          <xdr:rowOff>266700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8</xdr:row>
          <xdr:rowOff>19050</xdr:rowOff>
        </xdr:from>
        <xdr:to>
          <xdr:col>5</xdr:col>
          <xdr:colOff>0</xdr:colOff>
          <xdr:row>8</xdr:row>
          <xdr:rowOff>266700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4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11</xdr:row>
          <xdr:rowOff>19050</xdr:rowOff>
        </xdr:from>
        <xdr:to>
          <xdr:col>8</xdr:col>
          <xdr:colOff>0</xdr:colOff>
          <xdr:row>11</xdr:row>
          <xdr:rowOff>266700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12</xdr:row>
          <xdr:rowOff>19050</xdr:rowOff>
        </xdr:from>
        <xdr:to>
          <xdr:col>8</xdr:col>
          <xdr:colOff>0</xdr:colOff>
          <xdr:row>12</xdr:row>
          <xdr:rowOff>266700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4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13</xdr:row>
          <xdr:rowOff>19050</xdr:rowOff>
        </xdr:from>
        <xdr:to>
          <xdr:col>8</xdr:col>
          <xdr:colOff>0</xdr:colOff>
          <xdr:row>13</xdr:row>
          <xdr:rowOff>266700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4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14</xdr:row>
          <xdr:rowOff>19050</xdr:rowOff>
        </xdr:from>
        <xdr:to>
          <xdr:col>8</xdr:col>
          <xdr:colOff>0</xdr:colOff>
          <xdr:row>14</xdr:row>
          <xdr:rowOff>266700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4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16</xdr:row>
          <xdr:rowOff>19050</xdr:rowOff>
        </xdr:from>
        <xdr:to>
          <xdr:col>1</xdr:col>
          <xdr:colOff>0</xdr:colOff>
          <xdr:row>16</xdr:row>
          <xdr:rowOff>266700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4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16</xdr:row>
          <xdr:rowOff>19050</xdr:rowOff>
        </xdr:from>
        <xdr:to>
          <xdr:col>5</xdr:col>
          <xdr:colOff>0</xdr:colOff>
          <xdr:row>16</xdr:row>
          <xdr:rowOff>266700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4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16</xdr:row>
          <xdr:rowOff>19050</xdr:rowOff>
        </xdr:from>
        <xdr:to>
          <xdr:col>11</xdr:col>
          <xdr:colOff>0</xdr:colOff>
          <xdr:row>16</xdr:row>
          <xdr:rowOff>266700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4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xdr:colOff>
          <xdr:row>16</xdr:row>
          <xdr:rowOff>19050</xdr:rowOff>
        </xdr:from>
        <xdr:to>
          <xdr:col>15</xdr:col>
          <xdr:colOff>0</xdr:colOff>
          <xdr:row>16</xdr:row>
          <xdr:rowOff>266700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4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38100</xdr:colOff>
          <xdr:row>16</xdr:row>
          <xdr:rowOff>19050</xdr:rowOff>
        </xdr:from>
        <xdr:to>
          <xdr:col>20</xdr:col>
          <xdr:colOff>0</xdr:colOff>
          <xdr:row>16</xdr:row>
          <xdr:rowOff>266700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4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18</xdr:row>
          <xdr:rowOff>19050</xdr:rowOff>
        </xdr:from>
        <xdr:to>
          <xdr:col>1</xdr:col>
          <xdr:colOff>0</xdr:colOff>
          <xdr:row>18</xdr:row>
          <xdr:rowOff>266700</xdr:rowOff>
        </xdr:to>
        <xdr:sp macro="" textlink="">
          <xdr:nvSpPr>
            <xdr:cNvPr id="3110" name="Check Box 38" hidden="1">
              <a:extLst>
                <a:ext uri="{63B3BB69-23CF-44E3-9099-C40C66FF867C}">
                  <a14:compatExt spid="_x0000_s3110"/>
                </a:ext>
                <a:ext uri="{FF2B5EF4-FFF2-40B4-BE49-F238E27FC236}">
                  <a16:creationId xmlns:a16="http://schemas.microsoft.com/office/drawing/2014/main" id="{00000000-0008-0000-0400-00002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21</xdr:row>
          <xdr:rowOff>19050</xdr:rowOff>
        </xdr:from>
        <xdr:to>
          <xdr:col>1</xdr:col>
          <xdr:colOff>0</xdr:colOff>
          <xdr:row>21</xdr:row>
          <xdr:rowOff>266700</xdr:rowOff>
        </xdr:to>
        <xdr:sp macro="" textlink="">
          <xdr:nvSpPr>
            <xdr:cNvPr id="3111" name="Check Box 39" hidden="1">
              <a:extLst>
                <a:ext uri="{63B3BB69-23CF-44E3-9099-C40C66FF867C}">
                  <a14:compatExt spid="_x0000_s3111"/>
                </a:ext>
                <a:ext uri="{FF2B5EF4-FFF2-40B4-BE49-F238E27FC236}">
                  <a16:creationId xmlns:a16="http://schemas.microsoft.com/office/drawing/2014/main" id="{00000000-0008-0000-0400-00002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28</xdr:col>
          <xdr:colOff>247650</xdr:colOff>
          <xdr:row>4</xdr:row>
          <xdr:rowOff>38100</xdr:rowOff>
        </xdr:from>
        <xdr:to>
          <xdr:col>32</xdr:col>
          <xdr:colOff>190500</xdr:colOff>
          <xdr:row>5</xdr:row>
          <xdr:rowOff>66675</xdr:rowOff>
        </xdr:to>
        <xdr:sp macro="" textlink="">
          <xdr:nvSpPr>
            <xdr:cNvPr id="3112" name="Button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名寄帳控え</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masu\AppData\Roaming\Microsoft\Excel\XLSTART\PERSONAL.XLSB" TargetMode="External"/><Relationship Id="rId1" Type="http://schemas.microsoft.com/office/2006/relationships/xlExternalLinkPath/xlStartup" Target="PERSONAL.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definedNames>
      <definedName name="検索窓作成"/>
      <definedName name="戸籍申請書"/>
      <definedName name="戸籍申請書相続人"/>
      <definedName name="実費台紙"/>
      <definedName name="切貼"/>
      <definedName name="名寄帳申請書"/>
      <definedName name="名寄帳申請書PDF保存"/>
    </defined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D7101-4D4E-4F06-B9A8-96A6556AF34A}" name="テーブル33" displayName="テーブル33" ref="A22:L35" totalsRowShown="0" headerRowDxfId="27" dataDxfId="25" headerRowBorderDxfId="26" tableBorderDxfId="24" totalsRowBorderDxfId="23">
  <autoFilter ref="A22:L35" xr:uid="{26FD7101-4D4E-4F06-B9A8-96A6556AF34A}"/>
  <tableColumns count="12">
    <tableColumn id="12" xr3:uid="{ABB4B250-72C7-4F22-A4FE-BD74FD13BE4C}" name="番号" dataDxfId="22"/>
    <tableColumn id="1" xr3:uid="{756956E6-2FBC-4C04-80D1-FDE45901FDE4}" name="続柄" dataDxfId="21"/>
    <tableColumn id="2" xr3:uid="{23A59279-F720-4CB5-B922-676CC4A86581}" name="氏名_x000a_(行政　太郎)" dataDxfId="20"/>
    <tableColumn id="3" xr3:uid="{3A6D4E7E-E825-4293-8742-E795B2C8C2B2}" name="ふりがな_x000a_(ぎょうせい　たろう)" dataDxfId="19"/>
    <tableColumn id="4" xr3:uid="{D5A84946-9F9D-4759-A904-3596E1A3676C}" name="生年月日_x000a_(R1.1.1)" dataDxfId="18"/>
    <tableColumn id="5" xr3:uid="{578EE867-2E6B-43D1-B8F8-A8A7AFAED187}" name="死亡日_x000a_(R1.1.1)" dataDxfId="17"/>
    <tableColumn id="7" xr3:uid="{13F45B52-E3E1-472B-BE9A-28760105D2BA}" name="〒_x000a_(000-0000)" dataDxfId="16"/>
    <tableColumn id="6" xr3:uid="{09BFAB22-D2DB-48A8-BEB2-4C30A55E4144}" name="住所1_x000a_(東京都中央区八重洲一丁目7-20)" dataDxfId="15"/>
    <tableColumn id="10" xr3:uid="{54FF4FAD-0956-46A0-A6D0-F974AADDFE0E}" name="住所2_x000a_(八重洲口会館2階)" dataDxfId="14"/>
    <tableColumn id="9" xr3:uid="{FB3055F3-D38B-499E-8D7C-B3BF6616EB5A}" name="TEL_x000a_(00-0000-0000)" dataDxfId="13"/>
    <tableColumn id="8" xr3:uid="{AD71D460-450D-49E6-9589-0313EF92801D}" name="本籍地_x000a_(東京都中央区八重洲一丁目7番20号)" dataDxfId="12"/>
    <tableColumn id="11" xr3:uid="{18896206-EBD2-4317-838B-E1DEA8089891}" name="筆頭者_x000a_(行政　太郎)" dataDxfId="11"/>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567EF07-9EF9-4FEF-9E28-FB7099EF73F4}" name="テーブル135" displayName="テーブル135" ref="A48:E67" totalsRowShown="0" headerRowDxfId="10" dataDxfId="8" headerRowBorderDxfId="9" tableBorderDxfId="7" totalsRowBorderDxfId="6">
  <autoFilter ref="A48:E67" xr:uid="{8567EF07-9EF9-4FEF-9E28-FB7099EF73F4}"/>
  <tableColumns count="5">
    <tableColumn id="1" xr3:uid="{7D1F28A4-C556-4C66-A187-2B45F4C89290}" name="金融機関№" dataDxfId="5"/>
    <tableColumn id="2" xr3:uid="{45D346CC-C049-4955-9E84-DB82B60009BA}" name="行名" dataDxfId="4"/>
    <tableColumn id="3" xr3:uid="{218C01F5-DC0C-4DDF-AF49-2BC20E83364F}" name="支店名" dataDxfId="3"/>
    <tableColumn id="4" xr3:uid="{62C678B0-CC94-45AF-8E74-155B9A7C8767}" name="種類" dataDxfId="2"/>
    <tableColumn id="5" xr3:uid="{03BDA160-AEE8-4B21-BE85-596BB3B9E02C}" name="口座番号" dataDxfId="1"/>
  </tableColumns>
  <tableStyleInfo name="TableStyleMedium1"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324" Type="http://schemas.openxmlformats.org/officeDocument/2006/relationships/ctrlProp" Target="../ctrlProps/ctrlProp321.xml"/><Relationship Id="rId531" Type="http://schemas.openxmlformats.org/officeDocument/2006/relationships/ctrlProp" Target="../ctrlProps/ctrlProp528.xml"/><Relationship Id="rId629" Type="http://schemas.openxmlformats.org/officeDocument/2006/relationships/ctrlProp" Target="../ctrlProps/ctrlProp626.xml"/><Relationship Id="rId170" Type="http://schemas.openxmlformats.org/officeDocument/2006/relationships/ctrlProp" Target="../ctrlProps/ctrlProp167.xml"/><Relationship Id="rId268" Type="http://schemas.openxmlformats.org/officeDocument/2006/relationships/ctrlProp" Target="../ctrlProps/ctrlProp265.xml"/><Relationship Id="rId475" Type="http://schemas.openxmlformats.org/officeDocument/2006/relationships/ctrlProp" Target="../ctrlProps/ctrlProp472.xml"/><Relationship Id="rId32" Type="http://schemas.openxmlformats.org/officeDocument/2006/relationships/ctrlProp" Target="../ctrlProps/ctrlProp29.xml"/><Relationship Id="rId128" Type="http://schemas.openxmlformats.org/officeDocument/2006/relationships/ctrlProp" Target="../ctrlProps/ctrlProp125.xml"/><Relationship Id="rId335" Type="http://schemas.openxmlformats.org/officeDocument/2006/relationships/ctrlProp" Target="../ctrlProps/ctrlProp332.xml"/><Relationship Id="rId542" Type="http://schemas.openxmlformats.org/officeDocument/2006/relationships/ctrlProp" Target="../ctrlProps/ctrlProp539.xml"/><Relationship Id="rId181" Type="http://schemas.openxmlformats.org/officeDocument/2006/relationships/ctrlProp" Target="../ctrlProps/ctrlProp178.xml"/><Relationship Id="rId402" Type="http://schemas.openxmlformats.org/officeDocument/2006/relationships/ctrlProp" Target="../ctrlProps/ctrlProp399.xml"/><Relationship Id="rId279" Type="http://schemas.openxmlformats.org/officeDocument/2006/relationships/ctrlProp" Target="../ctrlProps/ctrlProp276.xml"/><Relationship Id="rId486" Type="http://schemas.openxmlformats.org/officeDocument/2006/relationships/ctrlProp" Target="../ctrlProps/ctrlProp483.xml"/><Relationship Id="rId43" Type="http://schemas.openxmlformats.org/officeDocument/2006/relationships/ctrlProp" Target="../ctrlProps/ctrlProp40.xml"/><Relationship Id="rId139" Type="http://schemas.openxmlformats.org/officeDocument/2006/relationships/ctrlProp" Target="../ctrlProps/ctrlProp136.xml"/><Relationship Id="rId346" Type="http://schemas.openxmlformats.org/officeDocument/2006/relationships/ctrlProp" Target="../ctrlProps/ctrlProp343.xml"/><Relationship Id="rId553" Type="http://schemas.openxmlformats.org/officeDocument/2006/relationships/ctrlProp" Target="../ctrlProps/ctrlProp550.xml"/><Relationship Id="rId192" Type="http://schemas.openxmlformats.org/officeDocument/2006/relationships/ctrlProp" Target="../ctrlProps/ctrlProp189.xml"/><Relationship Id="rId206" Type="http://schemas.openxmlformats.org/officeDocument/2006/relationships/ctrlProp" Target="../ctrlProps/ctrlProp203.xml"/><Relationship Id="rId413" Type="http://schemas.openxmlformats.org/officeDocument/2006/relationships/ctrlProp" Target="../ctrlProps/ctrlProp410.xml"/><Relationship Id="rId497" Type="http://schemas.openxmlformats.org/officeDocument/2006/relationships/ctrlProp" Target="../ctrlProps/ctrlProp494.xml"/><Relationship Id="rId620" Type="http://schemas.openxmlformats.org/officeDocument/2006/relationships/ctrlProp" Target="../ctrlProps/ctrlProp617.xml"/><Relationship Id="rId357" Type="http://schemas.openxmlformats.org/officeDocument/2006/relationships/ctrlProp" Target="../ctrlProps/ctrlProp354.xml"/><Relationship Id="rId54" Type="http://schemas.openxmlformats.org/officeDocument/2006/relationships/ctrlProp" Target="../ctrlProps/ctrlProp51.xml"/><Relationship Id="rId217" Type="http://schemas.openxmlformats.org/officeDocument/2006/relationships/ctrlProp" Target="../ctrlProps/ctrlProp214.xml"/><Relationship Id="rId564" Type="http://schemas.openxmlformats.org/officeDocument/2006/relationships/ctrlProp" Target="../ctrlProps/ctrlProp561.xml"/><Relationship Id="rId424" Type="http://schemas.openxmlformats.org/officeDocument/2006/relationships/ctrlProp" Target="../ctrlProps/ctrlProp421.xml"/><Relationship Id="rId631" Type="http://schemas.openxmlformats.org/officeDocument/2006/relationships/ctrlProp" Target="../ctrlProps/ctrlProp628.xml"/><Relationship Id="rId270" Type="http://schemas.openxmlformats.org/officeDocument/2006/relationships/ctrlProp" Target="../ctrlProps/ctrlProp267.xml"/><Relationship Id="rId65" Type="http://schemas.openxmlformats.org/officeDocument/2006/relationships/ctrlProp" Target="../ctrlProps/ctrlProp62.xml"/><Relationship Id="rId130" Type="http://schemas.openxmlformats.org/officeDocument/2006/relationships/ctrlProp" Target="../ctrlProps/ctrlProp127.xml"/><Relationship Id="rId368" Type="http://schemas.openxmlformats.org/officeDocument/2006/relationships/ctrlProp" Target="../ctrlProps/ctrlProp365.xml"/><Relationship Id="rId575" Type="http://schemas.openxmlformats.org/officeDocument/2006/relationships/ctrlProp" Target="../ctrlProps/ctrlProp572.xml"/><Relationship Id="rId228" Type="http://schemas.openxmlformats.org/officeDocument/2006/relationships/ctrlProp" Target="../ctrlProps/ctrlProp225.xml"/><Relationship Id="rId435" Type="http://schemas.openxmlformats.org/officeDocument/2006/relationships/ctrlProp" Target="../ctrlProps/ctrlProp432.xml"/><Relationship Id="rId642" Type="http://schemas.openxmlformats.org/officeDocument/2006/relationships/ctrlProp" Target="../ctrlProps/ctrlProp639.xml"/><Relationship Id="rId281" Type="http://schemas.openxmlformats.org/officeDocument/2006/relationships/ctrlProp" Target="../ctrlProps/ctrlProp278.xml"/><Relationship Id="rId502" Type="http://schemas.openxmlformats.org/officeDocument/2006/relationships/ctrlProp" Target="../ctrlProps/ctrlProp499.xml"/><Relationship Id="rId76" Type="http://schemas.openxmlformats.org/officeDocument/2006/relationships/ctrlProp" Target="../ctrlProps/ctrlProp73.xml"/><Relationship Id="rId141" Type="http://schemas.openxmlformats.org/officeDocument/2006/relationships/ctrlProp" Target="../ctrlProps/ctrlProp138.xml"/><Relationship Id="rId379" Type="http://schemas.openxmlformats.org/officeDocument/2006/relationships/ctrlProp" Target="../ctrlProps/ctrlProp376.xml"/><Relationship Id="rId586" Type="http://schemas.openxmlformats.org/officeDocument/2006/relationships/ctrlProp" Target="../ctrlProps/ctrlProp583.xml"/><Relationship Id="rId7" Type="http://schemas.openxmlformats.org/officeDocument/2006/relationships/ctrlProp" Target="../ctrlProps/ctrlProp4.xml"/><Relationship Id="rId239" Type="http://schemas.openxmlformats.org/officeDocument/2006/relationships/ctrlProp" Target="../ctrlProps/ctrlProp236.xml"/><Relationship Id="rId446" Type="http://schemas.openxmlformats.org/officeDocument/2006/relationships/ctrlProp" Target="../ctrlProps/ctrlProp443.xml"/><Relationship Id="rId292" Type="http://schemas.openxmlformats.org/officeDocument/2006/relationships/ctrlProp" Target="../ctrlProps/ctrlProp289.xml"/><Relationship Id="rId306" Type="http://schemas.openxmlformats.org/officeDocument/2006/relationships/ctrlProp" Target="../ctrlProps/ctrlProp303.xml"/><Relationship Id="rId87" Type="http://schemas.openxmlformats.org/officeDocument/2006/relationships/ctrlProp" Target="../ctrlProps/ctrlProp84.xml"/><Relationship Id="rId513" Type="http://schemas.openxmlformats.org/officeDocument/2006/relationships/ctrlProp" Target="../ctrlProps/ctrlProp510.xml"/><Relationship Id="rId597" Type="http://schemas.openxmlformats.org/officeDocument/2006/relationships/ctrlProp" Target="../ctrlProps/ctrlProp594.xml"/><Relationship Id="rId152" Type="http://schemas.openxmlformats.org/officeDocument/2006/relationships/ctrlProp" Target="../ctrlProps/ctrlProp149.xml"/><Relationship Id="rId457" Type="http://schemas.openxmlformats.org/officeDocument/2006/relationships/ctrlProp" Target="../ctrlProps/ctrlProp454.xml"/><Relationship Id="rId14" Type="http://schemas.openxmlformats.org/officeDocument/2006/relationships/ctrlProp" Target="../ctrlProps/ctrlProp11.xml"/><Relationship Id="rId317" Type="http://schemas.openxmlformats.org/officeDocument/2006/relationships/ctrlProp" Target="../ctrlProps/ctrlProp314.xml"/><Relationship Id="rId524" Type="http://schemas.openxmlformats.org/officeDocument/2006/relationships/ctrlProp" Target="../ctrlProps/ctrlProp521.xml"/><Relationship Id="rId98" Type="http://schemas.openxmlformats.org/officeDocument/2006/relationships/ctrlProp" Target="../ctrlProps/ctrlProp95.xml"/><Relationship Id="rId163" Type="http://schemas.openxmlformats.org/officeDocument/2006/relationships/ctrlProp" Target="../ctrlProps/ctrlProp160.xml"/><Relationship Id="rId370" Type="http://schemas.openxmlformats.org/officeDocument/2006/relationships/ctrlProp" Target="../ctrlProps/ctrlProp367.xml"/><Relationship Id="rId230" Type="http://schemas.openxmlformats.org/officeDocument/2006/relationships/ctrlProp" Target="../ctrlProps/ctrlProp227.xml"/><Relationship Id="rId468" Type="http://schemas.openxmlformats.org/officeDocument/2006/relationships/ctrlProp" Target="../ctrlProps/ctrlProp465.xml"/><Relationship Id="rId25" Type="http://schemas.openxmlformats.org/officeDocument/2006/relationships/ctrlProp" Target="../ctrlProps/ctrlProp22.xml"/><Relationship Id="rId328" Type="http://schemas.openxmlformats.org/officeDocument/2006/relationships/ctrlProp" Target="../ctrlProps/ctrlProp325.xml"/><Relationship Id="rId535" Type="http://schemas.openxmlformats.org/officeDocument/2006/relationships/ctrlProp" Target="../ctrlProps/ctrlProp532.xml"/><Relationship Id="rId174" Type="http://schemas.openxmlformats.org/officeDocument/2006/relationships/ctrlProp" Target="../ctrlProps/ctrlProp171.xml"/><Relationship Id="rId381" Type="http://schemas.openxmlformats.org/officeDocument/2006/relationships/ctrlProp" Target="../ctrlProps/ctrlProp378.xml"/><Relationship Id="rId602" Type="http://schemas.openxmlformats.org/officeDocument/2006/relationships/ctrlProp" Target="../ctrlProps/ctrlProp599.xml"/><Relationship Id="rId241" Type="http://schemas.openxmlformats.org/officeDocument/2006/relationships/ctrlProp" Target="../ctrlProps/ctrlProp238.xml"/><Relationship Id="rId479" Type="http://schemas.openxmlformats.org/officeDocument/2006/relationships/ctrlProp" Target="../ctrlProps/ctrlProp476.xml"/><Relationship Id="rId36" Type="http://schemas.openxmlformats.org/officeDocument/2006/relationships/ctrlProp" Target="../ctrlProps/ctrlProp33.xml"/><Relationship Id="rId339" Type="http://schemas.openxmlformats.org/officeDocument/2006/relationships/ctrlProp" Target="../ctrlProps/ctrlProp336.xml"/><Relationship Id="rId546" Type="http://schemas.openxmlformats.org/officeDocument/2006/relationships/ctrlProp" Target="../ctrlProps/ctrlProp543.xml"/><Relationship Id="rId101" Type="http://schemas.openxmlformats.org/officeDocument/2006/relationships/ctrlProp" Target="../ctrlProps/ctrlProp98.xml"/><Relationship Id="rId185" Type="http://schemas.openxmlformats.org/officeDocument/2006/relationships/ctrlProp" Target="../ctrlProps/ctrlProp182.xml"/><Relationship Id="rId406" Type="http://schemas.openxmlformats.org/officeDocument/2006/relationships/ctrlProp" Target="../ctrlProps/ctrlProp403.xml"/><Relationship Id="rId392" Type="http://schemas.openxmlformats.org/officeDocument/2006/relationships/ctrlProp" Target="../ctrlProps/ctrlProp389.xml"/><Relationship Id="rId613" Type="http://schemas.openxmlformats.org/officeDocument/2006/relationships/ctrlProp" Target="../ctrlProps/ctrlProp610.xml"/><Relationship Id="rId252" Type="http://schemas.openxmlformats.org/officeDocument/2006/relationships/ctrlProp" Target="../ctrlProps/ctrlProp249.xml"/><Relationship Id="rId47" Type="http://schemas.openxmlformats.org/officeDocument/2006/relationships/ctrlProp" Target="../ctrlProps/ctrlProp44.xml"/><Relationship Id="rId112" Type="http://schemas.openxmlformats.org/officeDocument/2006/relationships/ctrlProp" Target="../ctrlProps/ctrlProp109.xml"/><Relationship Id="rId557" Type="http://schemas.openxmlformats.org/officeDocument/2006/relationships/ctrlProp" Target="../ctrlProps/ctrlProp554.xml"/><Relationship Id="rId196" Type="http://schemas.openxmlformats.org/officeDocument/2006/relationships/ctrlProp" Target="../ctrlProps/ctrlProp193.xml"/><Relationship Id="rId417" Type="http://schemas.openxmlformats.org/officeDocument/2006/relationships/ctrlProp" Target="../ctrlProps/ctrlProp414.xml"/><Relationship Id="rId624" Type="http://schemas.openxmlformats.org/officeDocument/2006/relationships/ctrlProp" Target="../ctrlProps/ctrlProp621.xml"/><Relationship Id="rId16" Type="http://schemas.openxmlformats.org/officeDocument/2006/relationships/ctrlProp" Target="../ctrlProps/ctrlProp13.xml"/><Relationship Id="rId221" Type="http://schemas.openxmlformats.org/officeDocument/2006/relationships/ctrlProp" Target="../ctrlProps/ctrlProp218.xml"/><Relationship Id="rId263" Type="http://schemas.openxmlformats.org/officeDocument/2006/relationships/ctrlProp" Target="../ctrlProps/ctrlProp260.xml"/><Relationship Id="rId319" Type="http://schemas.openxmlformats.org/officeDocument/2006/relationships/ctrlProp" Target="../ctrlProps/ctrlProp316.xml"/><Relationship Id="rId470" Type="http://schemas.openxmlformats.org/officeDocument/2006/relationships/ctrlProp" Target="../ctrlProps/ctrlProp467.xml"/><Relationship Id="rId526" Type="http://schemas.openxmlformats.org/officeDocument/2006/relationships/ctrlProp" Target="../ctrlProps/ctrlProp523.xml"/><Relationship Id="rId58" Type="http://schemas.openxmlformats.org/officeDocument/2006/relationships/ctrlProp" Target="../ctrlProps/ctrlProp55.xml"/><Relationship Id="rId123" Type="http://schemas.openxmlformats.org/officeDocument/2006/relationships/ctrlProp" Target="../ctrlProps/ctrlProp120.xml"/><Relationship Id="rId330" Type="http://schemas.openxmlformats.org/officeDocument/2006/relationships/ctrlProp" Target="../ctrlProps/ctrlProp327.xml"/><Relationship Id="rId568" Type="http://schemas.openxmlformats.org/officeDocument/2006/relationships/ctrlProp" Target="../ctrlProps/ctrlProp565.xml"/><Relationship Id="rId165" Type="http://schemas.openxmlformats.org/officeDocument/2006/relationships/ctrlProp" Target="../ctrlProps/ctrlProp162.xml"/><Relationship Id="rId372" Type="http://schemas.openxmlformats.org/officeDocument/2006/relationships/ctrlProp" Target="../ctrlProps/ctrlProp369.xml"/><Relationship Id="rId428" Type="http://schemas.openxmlformats.org/officeDocument/2006/relationships/ctrlProp" Target="../ctrlProps/ctrlProp425.xml"/><Relationship Id="rId635" Type="http://schemas.openxmlformats.org/officeDocument/2006/relationships/ctrlProp" Target="../ctrlProps/ctrlProp632.xml"/><Relationship Id="rId232" Type="http://schemas.openxmlformats.org/officeDocument/2006/relationships/ctrlProp" Target="../ctrlProps/ctrlProp229.xml"/><Relationship Id="rId274" Type="http://schemas.openxmlformats.org/officeDocument/2006/relationships/ctrlProp" Target="../ctrlProps/ctrlProp271.xml"/><Relationship Id="rId481" Type="http://schemas.openxmlformats.org/officeDocument/2006/relationships/ctrlProp" Target="../ctrlProps/ctrlProp478.xml"/><Relationship Id="rId27" Type="http://schemas.openxmlformats.org/officeDocument/2006/relationships/ctrlProp" Target="../ctrlProps/ctrlProp24.xml"/><Relationship Id="rId69" Type="http://schemas.openxmlformats.org/officeDocument/2006/relationships/ctrlProp" Target="../ctrlProps/ctrlProp66.xml"/><Relationship Id="rId134" Type="http://schemas.openxmlformats.org/officeDocument/2006/relationships/ctrlProp" Target="../ctrlProps/ctrlProp131.xml"/><Relationship Id="rId537" Type="http://schemas.openxmlformats.org/officeDocument/2006/relationships/ctrlProp" Target="../ctrlProps/ctrlProp534.xml"/><Relationship Id="rId579" Type="http://schemas.openxmlformats.org/officeDocument/2006/relationships/ctrlProp" Target="../ctrlProps/ctrlProp576.xml"/><Relationship Id="rId80" Type="http://schemas.openxmlformats.org/officeDocument/2006/relationships/ctrlProp" Target="../ctrlProps/ctrlProp77.xml"/><Relationship Id="rId176" Type="http://schemas.openxmlformats.org/officeDocument/2006/relationships/ctrlProp" Target="../ctrlProps/ctrlProp173.xml"/><Relationship Id="rId341" Type="http://schemas.openxmlformats.org/officeDocument/2006/relationships/ctrlProp" Target="../ctrlProps/ctrlProp338.xml"/><Relationship Id="rId383" Type="http://schemas.openxmlformats.org/officeDocument/2006/relationships/ctrlProp" Target="../ctrlProps/ctrlProp380.xml"/><Relationship Id="rId439" Type="http://schemas.openxmlformats.org/officeDocument/2006/relationships/ctrlProp" Target="../ctrlProps/ctrlProp436.xml"/><Relationship Id="rId590" Type="http://schemas.openxmlformats.org/officeDocument/2006/relationships/ctrlProp" Target="../ctrlProps/ctrlProp587.xml"/><Relationship Id="rId604" Type="http://schemas.openxmlformats.org/officeDocument/2006/relationships/ctrlProp" Target="../ctrlProps/ctrlProp601.xml"/><Relationship Id="rId646" Type="http://schemas.openxmlformats.org/officeDocument/2006/relationships/ctrlProp" Target="../ctrlProps/ctrlProp643.xml"/><Relationship Id="rId201" Type="http://schemas.openxmlformats.org/officeDocument/2006/relationships/ctrlProp" Target="../ctrlProps/ctrlProp198.xml"/><Relationship Id="rId243" Type="http://schemas.openxmlformats.org/officeDocument/2006/relationships/ctrlProp" Target="../ctrlProps/ctrlProp240.xml"/><Relationship Id="rId285" Type="http://schemas.openxmlformats.org/officeDocument/2006/relationships/ctrlProp" Target="../ctrlProps/ctrlProp282.xml"/><Relationship Id="rId450" Type="http://schemas.openxmlformats.org/officeDocument/2006/relationships/ctrlProp" Target="../ctrlProps/ctrlProp447.xml"/><Relationship Id="rId506" Type="http://schemas.openxmlformats.org/officeDocument/2006/relationships/ctrlProp" Target="../ctrlProps/ctrlProp503.xml"/><Relationship Id="rId38" Type="http://schemas.openxmlformats.org/officeDocument/2006/relationships/ctrlProp" Target="../ctrlProps/ctrlProp35.xml"/><Relationship Id="rId103" Type="http://schemas.openxmlformats.org/officeDocument/2006/relationships/ctrlProp" Target="../ctrlProps/ctrlProp100.xml"/><Relationship Id="rId310" Type="http://schemas.openxmlformats.org/officeDocument/2006/relationships/ctrlProp" Target="../ctrlProps/ctrlProp307.xml"/><Relationship Id="rId492" Type="http://schemas.openxmlformats.org/officeDocument/2006/relationships/ctrlProp" Target="../ctrlProps/ctrlProp489.xml"/><Relationship Id="rId548" Type="http://schemas.openxmlformats.org/officeDocument/2006/relationships/ctrlProp" Target="../ctrlProps/ctrlProp545.xml"/><Relationship Id="rId91" Type="http://schemas.openxmlformats.org/officeDocument/2006/relationships/ctrlProp" Target="../ctrlProps/ctrlProp88.xml"/><Relationship Id="rId145" Type="http://schemas.openxmlformats.org/officeDocument/2006/relationships/ctrlProp" Target="../ctrlProps/ctrlProp142.xml"/><Relationship Id="rId187" Type="http://schemas.openxmlformats.org/officeDocument/2006/relationships/ctrlProp" Target="../ctrlProps/ctrlProp184.xml"/><Relationship Id="rId352" Type="http://schemas.openxmlformats.org/officeDocument/2006/relationships/ctrlProp" Target="../ctrlProps/ctrlProp349.xml"/><Relationship Id="rId394" Type="http://schemas.openxmlformats.org/officeDocument/2006/relationships/ctrlProp" Target="../ctrlProps/ctrlProp391.xml"/><Relationship Id="rId408" Type="http://schemas.openxmlformats.org/officeDocument/2006/relationships/ctrlProp" Target="../ctrlProps/ctrlProp405.xml"/><Relationship Id="rId615" Type="http://schemas.openxmlformats.org/officeDocument/2006/relationships/ctrlProp" Target="../ctrlProps/ctrlProp612.xml"/><Relationship Id="rId212" Type="http://schemas.openxmlformats.org/officeDocument/2006/relationships/ctrlProp" Target="../ctrlProps/ctrlProp209.xml"/><Relationship Id="rId254" Type="http://schemas.openxmlformats.org/officeDocument/2006/relationships/ctrlProp" Target="../ctrlProps/ctrlProp251.xml"/><Relationship Id="rId49" Type="http://schemas.openxmlformats.org/officeDocument/2006/relationships/ctrlProp" Target="../ctrlProps/ctrlProp46.xml"/><Relationship Id="rId114" Type="http://schemas.openxmlformats.org/officeDocument/2006/relationships/ctrlProp" Target="../ctrlProps/ctrlProp111.xml"/><Relationship Id="rId296" Type="http://schemas.openxmlformats.org/officeDocument/2006/relationships/ctrlProp" Target="../ctrlProps/ctrlProp293.xml"/><Relationship Id="rId461" Type="http://schemas.openxmlformats.org/officeDocument/2006/relationships/ctrlProp" Target="../ctrlProps/ctrlProp458.xml"/><Relationship Id="rId517" Type="http://schemas.openxmlformats.org/officeDocument/2006/relationships/ctrlProp" Target="../ctrlProps/ctrlProp514.xml"/><Relationship Id="rId559" Type="http://schemas.openxmlformats.org/officeDocument/2006/relationships/ctrlProp" Target="../ctrlProps/ctrlProp556.xml"/><Relationship Id="rId60" Type="http://schemas.openxmlformats.org/officeDocument/2006/relationships/ctrlProp" Target="../ctrlProps/ctrlProp57.xml"/><Relationship Id="rId156" Type="http://schemas.openxmlformats.org/officeDocument/2006/relationships/ctrlProp" Target="../ctrlProps/ctrlProp153.xml"/><Relationship Id="rId198" Type="http://schemas.openxmlformats.org/officeDocument/2006/relationships/ctrlProp" Target="../ctrlProps/ctrlProp195.xml"/><Relationship Id="rId321" Type="http://schemas.openxmlformats.org/officeDocument/2006/relationships/ctrlProp" Target="../ctrlProps/ctrlProp318.xml"/><Relationship Id="rId363" Type="http://schemas.openxmlformats.org/officeDocument/2006/relationships/ctrlProp" Target="../ctrlProps/ctrlProp360.xml"/><Relationship Id="rId419" Type="http://schemas.openxmlformats.org/officeDocument/2006/relationships/ctrlProp" Target="../ctrlProps/ctrlProp416.xml"/><Relationship Id="rId570" Type="http://schemas.openxmlformats.org/officeDocument/2006/relationships/ctrlProp" Target="../ctrlProps/ctrlProp567.xml"/><Relationship Id="rId626" Type="http://schemas.openxmlformats.org/officeDocument/2006/relationships/ctrlProp" Target="../ctrlProps/ctrlProp623.xml"/><Relationship Id="rId223" Type="http://schemas.openxmlformats.org/officeDocument/2006/relationships/ctrlProp" Target="../ctrlProps/ctrlProp220.xml"/><Relationship Id="rId430" Type="http://schemas.openxmlformats.org/officeDocument/2006/relationships/ctrlProp" Target="../ctrlProps/ctrlProp427.xml"/><Relationship Id="rId18" Type="http://schemas.openxmlformats.org/officeDocument/2006/relationships/ctrlProp" Target="../ctrlProps/ctrlProp15.xml"/><Relationship Id="rId265" Type="http://schemas.openxmlformats.org/officeDocument/2006/relationships/ctrlProp" Target="../ctrlProps/ctrlProp262.xml"/><Relationship Id="rId472" Type="http://schemas.openxmlformats.org/officeDocument/2006/relationships/ctrlProp" Target="../ctrlProps/ctrlProp469.xml"/><Relationship Id="rId528" Type="http://schemas.openxmlformats.org/officeDocument/2006/relationships/ctrlProp" Target="../ctrlProps/ctrlProp525.xml"/><Relationship Id="rId125" Type="http://schemas.openxmlformats.org/officeDocument/2006/relationships/ctrlProp" Target="../ctrlProps/ctrlProp122.xml"/><Relationship Id="rId167" Type="http://schemas.openxmlformats.org/officeDocument/2006/relationships/ctrlProp" Target="../ctrlProps/ctrlProp164.xml"/><Relationship Id="rId332" Type="http://schemas.openxmlformats.org/officeDocument/2006/relationships/ctrlProp" Target="../ctrlProps/ctrlProp329.xml"/><Relationship Id="rId374" Type="http://schemas.openxmlformats.org/officeDocument/2006/relationships/ctrlProp" Target="../ctrlProps/ctrlProp371.xml"/><Relationship Id="rId581" Type="http://schemas.openxmlformats.org/officeDocument/2006/relationships/ctrlProp" Target="../ctrlProps/ctrlProp578.xml"/><Relationship Id="rId71" Type="http://schemas.openxmlformats.org/officeDocument/2006/relationships/ctrlProp" Target="../ctrlProps/ctrlProp68.xml"/><Relationship Id="rId234" Type="http://schemas.openxmlformats.org/officeDocument/2006/relationships/ctrlProp" Target="../ctrlProps/ctrlProp231.xml"/><Relationship Id="rId637" Type="http://schemas.openxmlformats.org/officeDocument/2006/relationships/ctrlProp" Target="../ctrlProps/ctrlProp634.xml"/><Relationship Id="rId2" Type="http://schemas.openxmlformats.org/officeDocument/2006/relationships/drawing" Target="../drawings/drawing1.xml"/><Relationship Id="rId29" Type="http://schemas.openxmlformats.org/officeDocument/2006/relationships/ctrlProp" Target="../ctrlProps/ctrlProp26.xml"/><Relationship Id="rId276" Type="http://schemas.openxmlformats.org/officeDocument/2006/relationships/ctrlProp" Target="../ctrlProps/ctrlProp273.xml"/><Relationship Id="rId441" Type="http://schemas.openxmlformats.org/officeDocument/2006/relationships/ctrlProp" Target="../ctrlProps/ctrlProp438.xml"/><Relationship Id="rId483" Type="http://schemas.openxmlformats.org/officeDocument/2006/relationships/ctrlProp" Target="../ctrlProps/ctrlProp480.xml"/><Relationship Id="rId539" Type="http://schemas.openxmlformats.org/officeDocument/2006/relationships/ctrlProp" Target="../ctrlProps/ctrlProp536.xml"/><Relationship Id="rId40" Type="http://schemas.openxmlformats.org/officeDocument/2006/relationships/ctrlProp" Target="../ctrlProps/ctrlProp37.xml"/><Relationship Id="rId136" Type="http://schemas.openxmlformats.org/officeDocument/2006/relationships/ctrlProp" Target="../ctrlProps/ctrlProp133.xml"/><Relationship Id="rId178" Type="http://schemas.openxmlformats.org/officeDocument/2006/relationships/ctrlProp" Target="../ctrlProps/ctrlProp175.xml"/><Relationship Id="rId301" Type="http://schemas.openxmlformats.org/officeDocument/2006/relationships/ctrlProp" Target="../ctrlProps/ctrlProp298.xml"/><Relationship Id="rId343" Type="http://schemas.openxmlformats.org/officeDocument/2006/relationships/ctrlProp" Target="../ctrlProps/ctrlProp340.xml"/><Relationship Id="rId550" Type="http://schemas.openxmlformats.org/officeDocument/2006/relationships/ctrlProp" Target="../ctrlProps/ctrlProp547.xml"/><Relationship Id="rId82" Type="http://schemas.openxmlformats.org/officeDocument/2006/relationships/ctrlProp" Target="../ctrlProps/ctrlProp79.xml"/><Relationship Id="rId203" Type="http://schemas.openxmlformats.org/officeDocument/2006/relationships/ctrlProp" Target="../ctrlProps/ctrlProp200.xml"/><Relationship Id="rId385" Type="http://schemas.openxmlformats.org/officeDocument/2006/relationships/ctrlProp" Target="../ctrlProps/ctrlProp382.xml"/><Relationship Id="rId592" Type="http://schemas.openxmlformats.org/officeDocument/2006/relationships/ctrlProp" Target="../ctrlProps/ctrlProp589.xml"/><Relationship Id="rId606" Type="http://schemas.openxmlformats.org/officeDocument/2006/relationships/ctrlProp" Target="../ctrlProps/ctrlProp603.xml"/><Relationship Id="rId648" Type="http://schemas.openxmlformats.org/officeDocument/2006/relationships/table" Target="../tables/table1.xml"/><Relationship Id="rId245" Type="http://schemas.openxmlformats.org/officeDocument/2006/relationships/ctrlProp" Target="../ctrlProps/ctrlProp242.xml"/><Relationship Id="rId287" Type="http://schemas.openxmlformats.org/officeDocument/2006/relationships/ctrlProp" Target="../ctrlProps/ctrlProp284.xml"/><Relationship Id="rId410" Type="http://schemas.openxmlformats.org/officeDocument/2006/relationships/ctrlProp" Target="../ctrlProps/ctrlProp407.xml"/><Relationship Id="rId452" Type="http://schemas.openxmlformats.org/officeDocument/2006/relationships/ctrlProp" Target="../ctrlProps/ctrlProp449.xml"/><Relationship Id="rId494" Type="http://schemas.openxmlformats.org/officeDocument/2006/relationships/ctrlProp" Target="../ctrlProps/ctrlProp491.xml"/><Relationship Id="rId508" Type="http://schemas.openxmlformats.org/officeDocument/2006/relationships/ctrlProp" Target="../ctrlProps/ctrlProp505.xml"/><Relationship Id="rId105" Type="http://schemas.openxmlformats.org/officeDocument/2006/relationships/ctrlProp" Target="../ctrlProps/ctrlProp102.xml"/><Relationship Id="rId147" Type="http://schemas.openxmlformats.org/officeDocument/2006/relationships/ctrlProp" Target="../ctrlProps/ctrlProp144.xml"/><Relationship Id="rId312" Type="http://schemas.openxmlformats.org/officeDocument/2006/relationships/ctrlProp" Target="../ctrlProps/ctrlProp309.xml"/><Relationship Id="rId354" Type="http://schemas.openxmlformats.org/officeDocument/2006/relationships/ctrlProp" Target="../ctrlProps/ctrlProp351.xml"/><Relationship Id="rId51" Type="http://schemas.openxmlformats.org/officeDocument/2006/relationships/ctrlProp" Target="../ctrlProps/ctrlProp48.xml"/><Relationship Id="rId93" Type="http://schemas.openxmlformats.org/officeDocument/2006/relationships/ctrlProp" Target="../ctrlProps/ctrlProp90.xml"/><Relationship Id="rId189" Type="http://schemas.openxmlformats.org/officeDocument/2006/relationships/ctrlProp" Target="../ctrlProps/ctrlProp186.xml"/><Relationship Id="rId396" Type="http://schemas.openxmlformats.org/officeDocument/2006/relationships/ctrlProp" Target="../ctrlProps/ctrlProp393.xml"/><Relationship Id="rId561" Type="http://schemas.openxmlformats.org/officeDocument/2006/relationships/ctrlProp" Target="../ctrlProps/ctrlProp558.xml"/><Relationship Id="rId617" Type="http://schemas.openxmlformats.org/officeDocument/2006/relationships/ctrlProp" Target="../ctrlProps/ctrlProp614.xml"/><Relationship Id="rId214" Type="http://schemas.openxmlformats.org/officeDocument/2006/relationships/ctrlProp" Target="../ctrlProps/ctrlProp211.xml"/><Relationship Id="rId256" Type="http://schemas.openxmlformats.org/officeDocument/2006/relationships/ctrlProp" Target="../ctrlProps/ctrlProp253.xml"/><Relationship Id="rId298" Type="http://schemas.openxmlformats.org/officeDocument/2006/relationships/ctrlProp" Target="../ctrlProps/ctrlProp295.xml"/><Relationship Id="rId421" Type="http://schemas.openxmlformats.org/officeDocument/2006/relationships/ctrlProp" Target="../ctrlProps/ctrlProp418.xml"/><Relationship Id="rId463" Type="http://schemas.openxmlformats.org/officeDocument/2006/relationships/ctrlProp" Target="../ctrlProps/ctrlProp460.xml"/><Relationship Id="rId519" Type="http://schemas.openxmlformats.org/officeDocument/2006/relationships/ctrlProp" Target="../ctrlProps/ctrlProp516.xml"/><Relationship Id="rId116" Type="http://schemas.openxmlformats.org/officeDocument/2006/relationships/ctrlProp" Target="../ctrlProps/ctrlProp113.xml"/><Relationship Id="rId158" Type="http://schemas.openxmlformats.org/officeDocument/2006/relationships/ctrlProp" Target="../ctrlProps/ctrlProp155.xml"/><Relationship Id="rId323" Type="http://schemas.openxmlformats.org/officeDocument/2006/relationships/ctrlProp" Target="../ctrlProps/ctrlProp320.xml"/><Relationship Id="rId530" Type="http://schemas.openxmlformats.org/officeDocument/2006/relationships/ctrlProp" Target="../ctrlProps/ctrlProp527.xml"/><Relationship Id="rId20" Type="http://schemas.openxmlformats.org/officeDocument/2006/relationships/ctrlProp" Target="../ctrlProps/ctrlProp17.xml"/><Relationship Id="rId62" Type="http://schemas.openxmlformats.org/officeDocument/2006/relationships/ctrlProp" Target="../ctrlProps/ctrlProp59.xml"/><Relationship Id="rId365" Type="http://schemas.openxmlformats.org/officeDocument/2006/relationships/ctrlProp" Target="../ctrlProps/ctrlProp362.xml"/><Relationship Id="rId572" Type="http://schemas.openxmlformats.org/officeDocument/2006/relationships/ctrlProp" Target="../ctrlProps/ctrlProp569.xml"/><Relationship Id="rId628" Type="http://schemas.openxmlformats.org/officeDocument/2006/relationships/ctrlProp" Target="../ctrlProps/ctrlProp625.xml"/><Relationship Id="rId225" Type="http://schemas.openxmlformats.org/officeDocument/2006/relationships/ctrlProp" Target="../ctrlProps/ctrlProp222.xml"/><Relationship Id="rId267" Type="http://schemas.openxmlformats.org/officeDocument/2006/relationships/ctrlProp" Target="../ctrlProps/ctrlProp264.xml"/><Relationship Id="rId432" Type="http://schemas.openxmlformats.org/officeDocument/2006/relationships/ctrlProp" Target="../ctrlProps/ctrlProp429.xml"/><Relationship Id="rId474" Type="http://schemas.openxmlformats.org/officeDocument/2006/relationships/ctrlProp" Target="../ctrlProps/ctrlProp471.xml"/><Relationship Id="rId127" Type="http://schemas.openxmlformats.org/officeDocument/2006/relationships/ctrlProp" Target="../ctrlProps/ctrlProp124.xml"/><Relationship Id="rId31" Type="http://schemas.openxmlformats.org/officeDocument/2006/relationships/ctrlProp" Target="../ctrlProps/ctrlProp28.xml"/><Relationship Id="rId73" Type="http://schemas.openxmlformats.org/officeDocument/2006/relationships/ctrlProp" Target="../ctrlProps/ctrlProp70.xml"/><Relationship Id="rId169" Type="http://schemas.openxmlformats.org/officeDocument/2006/relationships/ctrlProp" Target="../ctrlProps/ctrlProp166.xml"/><Relationship Id="rId334" Type="http://schemas.openxmlformats.org/officeDocument/2006/relationships/ctrlProp" Target="../ctrlProps/ctrlProp331.xml"/><Relationship Id="rId376" Type="http://schemas.openxmlformats.org/officeDocument/2006/relationships/ctrlProp" Target="../ctrlProps/ctrlProp373.xml"/><Relationship Id="rId541" Type="http://schemas.openxmlformats.org/officeDocument/2006/relationships/ctrlProp" Target="../ctrlProps/ctrlProp538.xml"/><Relationship Id="rId583" Type="http://schemas.openxmlformats.org/officeDocument/2006/relationships/ctrlProp" Target="../ctrlProps/ctrlProp580.xml"/><Relationship Id="rId639" Type="http://schemas.openxmlformats.org/officeDocument/2006/relationships/ctrlProp" Target="../ctrlProps/ctrlProp636.xml"/><Relationship Id="rId4" Type="http://schemas.openxmlformats.org/officeDocument/2006/relationships/ctrlProp" Target="../ctrlProps/ctrlProp1.xml"/><Relationship Id="rId180" Type="http://schemas.openxmlformats.org/officeDocument/2006/relationships/ctrlProp" Target="../ctrlProps/ctrlProp177.xml"/><Relationship Id="rId236" Type="http://schemas.openxmlformats.org/officeDocument/2006/relationships/ctrlProp" Target="../ctrlProps/ctrlProp233.xml"/><Relationship Id="rId278" Type="http://schemas.openxmlformats.org/officeDocument/2006/relationships/ctrlProp" Target="../ctrlProps/ctrlProp275.xml"/><Relationship Id="rId401" Type="http://schemas.openxmlformats.org/officeDocument/2006/relationships/ctrlProp" Target="../ctrlProps/ctrlProp398.xml"/><Relationship Id="rId443" Type="http://schemas.openxmlformats.org/officeDocument/2006/relationships/ctrlProp" Target="../ctrlProps/ctrlProp440.xml"/><Relationship Id="rId650" Type="http://schemas.openxmlformats.org/officeDocument/2006/relationships/comments" Target="../comments1.xml"/><Relationship Id="rId303" Type="http://schemas.openxmlformats.org/officeDocument/2006/relationships/ctrlProp" Target="../ctrlProps/ctrlProp300.xml"/><Relationship Id="rId485" Type="http://schemas.openxmlformats.org/officeDocument/2006/relationships/ctrlProp" Target="../ctrlProps/ctrlProp482.xml"/><Relationship Id="rId42" Type="http://schemas.openxmlformats.org/officeDocument/2006/relationships/ctrlProp" Target="../ctrlProps/ctrlProp39.xml"/><Relationship Id="rId84" Type="http://schemas.openxmlformats.org/officeDocument/2006/relationships/ctrlProp" Target="../ctrlProps/ctrlProp81.xml"/><Relationship Id="rId138" Type="http://schemas.openxmlformats.org/officeDocument/2006/relationships/ctrlProp" Target="../ctrlProps/ctrlProp135.xml"/><Relationship Id="rId345" Type="http://schemas.openxmlformats.org/officeDocument/2006/relationships/ctrlProp" Target="../ctrlProps/ctrlProp342.xml"/><Relationship Id="rId387" Type="http://schemas.openxmlformats.org/officeDocument/2006/relationships/ctrlProp" Target="../ctrlProps/ctrlProp384.xml"/><Relationship Id="rId510" Type="http://schemas.openxmlformats.org/officeDocument/2006/relationships/ctrlProp" Target="../ctrlProps/ctrlProp507.xml"/><Relationship Id="rId552" Type="http://schemas.openxmlformats.org/officeDocument/2006/relationships/ctrlProp" Target="../ctrlProps/ctrlProp549.xml"/><Relationship Id="rId594" Type="http://schemas.openxmlformats.org/officeDocument/2006/relationships/ctrlProp" Target="../ctrlProps/ctrlProp591.xml"/><Relationship Id="rId608" Type="http://schemas.openxmlformats.org/officeDocument/2006/relationships/ctrlProp" Target="../ctrlProps/ctrlProp605.xml"/><Relationship Id="rId191" Type="http://schemas.openxmlformats.org/officeDocument/2006/relationships/ctrlProp" Target="../ctrlProps/ctrlProp188.xml"/><Relationship Id="rId205" Type="http://schemas.openxmlformats.org/officeDocument/2006/relationships/ctrlProp" Target="../ctrlProps/ctrlProp202.xml"/><Relationship Id="rId247" Type="http://schemas.openxmlformats.org/officeDocument/2006/relationships/ctrlProp" Target="../ctrlProps/ctrlProp244.xml"/><Relationship Id="rId412" Type="http://schemas.openxmlformats.org/officeDocument/2006/relationships/ctrlProp" Target="../ctrlProps/ctrlProp409.xml"/><Relationship Id="rId107" Type="http://schemas.openxmlformats.org/officeDocument/2006/relationships/ctrlProp" Target="../ctrlProps/ctrlProp104.xml"/><Relationship Id="rId289" Type="http://schemas.openxmlformats.org/officeDocument/2006/relationships/ctrlProp" Target="../ctrlProps/ctrlProp286.xml"/><Relationship Id="rId454" Type="http://schemas.openxmlformats.org/officeDocument/2006/relationships/ctrlProp" Target="../ctrlProps/ctrlProp451.xml"/><Relationship Id="rId496" Type="http://schemas.openxmlformats.org/officeDocument/2006/relationships/ctrlProp" Target="../ctrlProps/ctrlProp493.xml"/><Relationship Id="rId11" Type="http://schemas.openxmlformats.org/officeDocument/2006/relationships/ctrlProp" Target="../ctrlProps/ctrlProp8.xml"/><Relationship Id="rId53" Type="http://schemas.openxmlformats.org/officeDocument/2006/relationships/ctrlProp" Target="../ctrlProps/ctrlProp50.xml"/><Relationship Id="rId149" Type="http://schemas.openxmlformats.org/officeDocument/2006/relationships/ctrlProp" Target="../ctrlProps/ctrlProp146.xml"/><Relationship Id="rId314" Type="http://schemas.openxmlformats.org/officeDocument/2006/relationships/ctrlProp" Target="../ctrlProps/ctrlProp311.xml"/><Relationship Id="rId356" Type="http://schemas.openxmlformats.org/officeDocument/2006/relationships/ctrlProp" Target="../ctrlProps/ctrlProp353.xml"/><Relationship Id="rId398" Type="http://schemas.openxmlformats.org/officeDocument/2006/relationships/ctrlProp" Target="../ctrlProps/ctrlProp395.xml"/><Relationship Id="rId521" Type="http://schemas.openxmlformats.org/officeDocument/2006/relationships/ctrlProp" Target="../ctrlProps/ctrlProp518.xml"/><Relationship Id="rId563" Type="http://schemas.openxmlformats.org/officeDocument/2006/relationships/ctrlProp" Target="../ctrlProps/ctrlProp560.xml"/><Relationship Id="rId619" Type="http://schemas.openxmlformats.org/officeDocument/2006/relationships/ctrlProp" Target="../ctrlProps/ctrlProp616.xml"/><Relationship Id="rId95" Type="http://schemas.openxmlformats.org/officeDocument/2006/relationships/ctrlProp" Target="../ctrlProps/ctrlProp92.xml"/><Relationship Id="rId160" Type="http://schemas.openxmlformats.org/officeDocument/2006/relationships/ctrlProp" Target="../ctrlProps/ctrlProp157.xml"/><Relationship Id="rId216" Type="http://schemas.openxmlformats.org/officeDocument/2006/relationships/ctrlProp" Target="../ctrlProps/ctrlProp213.xml"/><Relationship Id="rId423" Type="http://schemas.openxmlformats.org/officeDocument/2006/relationships/ctrlProp" Target="../ctrlProps/ctrlProp420.xml"/><Relationship Id="rId258" Type="http://schemas.openxmlformats.org/officeDocument/2006/relationships/ctrlProp" Target="../ctrlProps/ctrlProp255.xml"/><Relationship Id="rId465" Type="http://schemas.openxmlformats.org/officeDocument/2006/relationships/ctrlProp" Target="../ctrlProps/ctrlProp462.xml"/><Relationship Id="rId630" Type="http://schemas.openxmlformats.org/officeDocument/2006/relationships/ctrlProp" Target="../ctrlProps/ctrlProp627.xml"/><Relationship Id="rId22" Type="http://schemas.openxmlformats.org/officeDocument/2006/relationships/ctrlProp" Target="../ctrlProps/ctrlProp19.xml"/><Relationship Id="rId64" Type="http://schemas.openxmlformats.org/officeDocument/2006/relationships/ctrlProp" Target="../ctrlProps/ctrlProp61.xml"/><Relationship Id="rId118" Type="http://schemas.openxmlformats.org/officeDocument/2006/relationships/ctrlProp" Target="../ctrlProps/ctrlProp115.xml"/><Relationship Id="rId325" Type="http://schemas.openxmlformats.org/officeDocument/2006/relationships/ctrlProp" Target="../ctrlProps/ctrlProp322.xml"/><Relationship Id="rId367" Type="http://schemas.openxmlformats.org/officeDocument/2006/relationships/ctrlProp" Target="../ctrlProps/ctrlProp364.xml"/><Relationship Id="rId532" Type="http://schemas.openxmlformats.org/officeDocument/2006/relationships/ctrlProp" Target="../ctrlProps/ctrlProp529.xml"/><Relationship Id="rId574" Type="http://schemas.openxmlformats.org/officeDocument/2006/relationships/ctrlProp" Target="../ctrlProps/ctrlProp571.xml"/><Relationship Id="rId171" Type="http://schemas.openxmlformats.org/officeDocument/2006/relationships/ctrlProp" Target="../ctrlProps/ctrlProp168.xml"/><Relationship Id="rId227" Type="http://schemas.openxmlformats.org/officeDocument/2006/relationships/ctrlProp" Target="../ctrlProps/ctrlProp224.xml"/><Relationship Id="rId269" Type="http://schemas.openxmlformats.org/officeDocument/2006/relationships/ctrlProp" Target="../ctrlProps/ctrlProp266.xml"/><Relationship Id="rId434" Type="http://schemas.openxmlformats.org/officeDocument/2006/relationships/ctrlProp" Target="../ctrlProps/ctrlProp431.xml"/><Relationship Id="rId476" Type="http://schemas.openxmlformats.org/officeDocument/2006/relationships/ctrlProp" Target="../ctrlProps/ctrlProp473.xml"/><Relationship Id="rId641" Type="http://schemas.openxmlformats.org/officeDocument/2006/relationships/ctrlProp" Target="../ctrlProps/ctrlProp638.xml"/><Relationship Id="rId33" Type="http://schemas.openxmlformats.org/officeDocument/2006/relationships/ctrlProp" Target="../ctrlProps/ctrlProp30.xml"/><Relationship Id="rId129" Type="http://schemas.openxmlformats.org/officeDocument/2006/relationships/ctrlProp" Target="../ctrlProps/ctrlProp126.xml"/><Relationship Id="rId280" Type="http://schemas.openxmlformats.org/officeDocument/2006/relationships/ctrlProp" Target="../ctrlProps/ctrlProp277.xml"/><Relationship Id="rId336" Type="http://schemas.openxmlformats.org/officeDocument/2006/relationships/ctrlProp" Target="../ctrlProps/ctrlProp333.xml"/><Relationship Id="rId501" Type="http://schemas.openxmlformats.org/officeDocument/2006/relationships/ctrlProp" Target="../ctrlProps/ctrlProp498.xml"/><Relationship Id="rId543" Type="http://schemas.openxmlformats.org/officeDocument/2006/relationships/ctrlProp" Target="../ctrlProps/ctrlProp540.xml"/><Relationship Id="rId75" Type="http://schemas.openxmlformats.org/officeDocument/2006/relationships/ctrlProp" Target="../ctrlProps/ctrlProp72.xml"/><Relationship Id="rId140" Type="http://schemas.openxmlformats.org/officeDocument/2006/relationships/ctrlProp" Target="../ctrlProps/ctrlProp137.xml"/><Relationship Id="rId182" Type="http://schemas.openxmlformats.org/officeDocument/2006/relationships/ctrlProp" Target="../ctrlProps/ctrlProp179.xml"/><Relationship Id="rId378" Type="http://schemas.openxmlformats.org/officeDocument/2006/relationships/ctrlProp" Target="../ctrlProps/ctrlProp375.xml"/><Relationship Id="rId403" Type="http://schemas.openxmlformats.org/officeDocument/2006/relationships/ctrlProp" Target="../ctrlProps/ctrlProp400.xml"/><Relationship Id="rId585" Type="http://schemas.openxmlformats.org/officeDocument/2006/relationships/ctrlProp" Target="../ctrlProps/ctrlProp582.xml"/><Relationship Id="rId6" Type="http://schemas.openxmlformats.org/officeDocument/2006/relationships/ctrlProp" Target="../ctrlProps/ctrlProp3.xml"/><Relationship Id="rId238" Type="http://schemas.openxmlformats.org/officeDocument/2006/relationships/ctrlProp" Target="../ctrlProps/ctrlProp235.xml"/><Relationship Id="rId445" Type="http://schemas.openxmlformats.org/officeDocument/2006/relationships/ctrlProp" Target="../ctrlProps/ctrlProp442.xml"/><Relationship Id="rId487" Type="http://schemas.openxmlformats.org/officeDocument/2006/relationships/ctrlProp" Target="../ctrlProps/ctrlProp484.xml"/><Relationship Id="rId610" Type="http://schemas.openxmlformats.org/officeDocument/2006/relationships/ctrlProp" Target="../ctrlProps/ctrlProp607.xml"/><Relationship Id="rId291" Type="http://schemas.openxmlformats.org/officeDocument/2006/relationships/ctrlProp" Target="../ctrlProps/ctrlProp288.xml"/><Relationship Id="rId305" Type="http://schemas.openxmlformats.org/officeDocument/2006/relationships/ctrlProp" Target="../ctrlProps/ctrlProp302.xml"/><Relationship Id="rId347" Type="http://schemas.openxmlformats.org/officeDocument/2006/relationships/ctrlProp" Target="../ctrlProps/ctrlProp344.xml"/><Relationship Id="rId512" Type="http://schemas.openxmlformats.org/officeDocument/2006/relationships/ctrlProp" Target="../ctrlProps/ctrlProp509.xml"/><Relationship Id="rId44" Type="http://schemas.openxmlformats.org/officeDocument/2006/relationships/ctrlProp" Target="../ctrlProps/ctrlProp41.xml"/><Relationship Id="rId86" Type="http://schemas.openxmlformats.org/officeDocument/2006/relationships/ctrlProp" Target="../ctrlProps/ctrlProp83.xml"/><Relationship Id="rId151" Type="http://schemas.openxmlformats.org/officeDocument/2006/relationships/ctrlProp" Target="../ctrlProps/ctrlProp148.xml"/><Relationship Id="rId389" Type="http://schemas.openxmlformats.org/officeDocument/2006/relationships/ctrlProp" Target="../ctrlProps/ctrlProp386.xml"/><Relationship Id="rId554" Type="http://schemas.openxmlformats.org/officeDocument/2006/relationships/ctrlProp" Target="../ctrlProps/ctrlProp551.xml"/><Relationship Id="rId596" Type="http://schemas.openxmlformats.org/officeDocument/2006/relationships/ctrlProp" Target="../ctrlProps/ctrlProp593.xml"/><Relationship Id="rId193" Type="http://schemas.openxmlformats.org/officeDocument/2006/relationships/ctrlProp" Target="../ctrlProps/ctrlProp190.xml"/><Relationship Id="rId207" Type="http://schemas.openxmlformats.org/officeDocument/2006/relationships/ctrlProp" Target="../ctrlProps/ctrlProp204.xml"/><Relationship Id="rId249" Type="http://schemas.openxmlformats.org/officeDocument/2006/relationships/ctrlProp" Target="../ctrlProps/ctrlProp246.xml"/><Relationship Id="rId414" Type="http://schemas.openxmlformats.org/officeDocument/2006/relationships/ctrlProp" Target="../ctrlProps/ctrlProp411.xml"/><Relationship Id="rId456" Type="http://schemas.openxmlformats.org/officeDocument/2006/relationships/ctrlProp" Target="../ctrlProps/ctrlProp453.xml"/><Relationship Id="rId498" Type="http://schemas.openxmlformats.org/officeDocument/2006/relationships/ctrlProp" Target="../ctrlProps/ctrlProp495.xml"/><Relationship Id="rId621" Type="http://schemas.openxmlformats.org/officeDocument/2006/relationships/ctrlProp" Target="../ctrlProps/ctrlProp618.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316" Type="http://schemas.openxmlformats.org/officeDocument/2006/relationships/ctrlProp" Target="../ctrlProps/ctrlProp313.xml"/><Relationship Id="rId523" Type="http://schemas.openxmlformats.org/officeDocument/2006/relationships/ctrlProp" Target="../ctrlProps/ctrlProp520.xml"/><Relationship Id="rId55" Type="http://schemas.openxmlformats.org/officeDocument/2006/relationships/ctrlProp" Target="../ctrlProps/ctrlProp52.xml"/><Relationship Id="rId97" Type="http://schemas.openxmlformats.org/officeDocument/2006/relationships/ctrlProp" Target="../ctrlProps/ctrlProp94.xml"/><Relationship Id="rId120" Type="http://schemas.openxmlformats.org/officeDocument/2006/relationships/ctrlProp" Target="../ctrlProps/ctrlProp117.xml"/><Relationship Id="rId358" Type="http://schemas.openxmlformats.org/officeDocument/2006/relationships/ctrlProp" Target="../ctrlProps/ctrlProp355.xml"/><Relationship Id="rId565" Type="http://schemas.openxmlformats.org/officeDocument/2006/relationships/ctrlProp" Target="../ctrlProps/ctrlProp562.xml"/><Relationship Id="rId162" Type="http://schemas.openxmlformats.org/officeDocument/2006/relationships/ctrlProp" Target="../ctrlProps/ctrlProp159.xml"/><Relationship Id="rId218" Type="http://schemas.openxmlformats.org/officeDocument/2006/relationships/ctrlProp" Target="../ctrlProps/ctrlProp215.xml"/><Relationship Id="rId425" Type="http://schemas.openxmlformats.org/officeDocument/2006/relationships/ctrlProp" Target="../ctrlProps/ctrlProp422.xml"/><Relationship Id="rId467" Type="http://schemas.openxmlformats.org/officeDocument/2006/relationships/ctrlProp" Target="../ctrlProps/ctrlProp464.xml"/><Relationship Id="rId632" Type="http://schemas.openxmlformats.org/officeDocument/2006/relationships/ctrlProp" Target="../ctrlProps/ctrlProp629.xml"/><Relationship Id="rId271" Type="http://schemas.openxmlformats.org/officeDocument/2006/relationships/ctrlProp" Target="../ctrlProps/ctrlProp268.xml"/><Relationship Id="rId24" Type="http://schemas.openxmlformats.org/officeDocument/2006/relationships/ctrlProp" Target="../ctrlProps/ctrlProp21.xml"/><Relationship Id="rId66" Type="http://schemas.openxmlformats.org/officeDocument/2006/relationships/ctrlProp" Target="../ctrlProps/ctrlProp63.xml"/><Relationship Id="rId131" Type="http://schemas.openxmlformats.org/officeDocument/2006/relationships/ctrlProp" Target="../ctrlProps/ctrlProp128.xml"/><Relationship Id="rId327" Type="http://schemas.openxmlformats.org/officeDocument/2006/relationships/ctrlProp" Target="../ctrlProps/ctrlProp324.xml"/><Relationship Id="rId369" Type="http://schemas.openxmlformats.org/officeDocument/2006/relationships/ctrlProp" Target="../ctrlProps/ctrlProp366.xml"/><Relationship Id="rId534" Type="http://schemas.openxmlformats.org/officeDocument/2006/relationships/ctrlProp" Target="../ctrlProps/ctrlProp531.xml"/><Relationship Id="rId576" Type="http://schemas.openxmlformats.org/officeDocument/2006/relationships/ctrlProp" Target="../ctrlProps/ctrlProp573.xml"/><Relationship Id="rId173" Type="http://schemas.openxmlformats.org/officeDocument/2006/relationships/ctrlProp" Target="../ctrlProps/ctrlProp170.xml"/><Relationship Id="rId229" Type="http://schemas.openxmlformats.org/officeDocument/2006/relationships/ctrlProp" Target="../ctrlProps/ctrlProp226.xml"/><Relationship Id="rId380" Type="http://schemas.openxmlformats.org/officeDocument/2006/relationships/ctrlProp" Target="../ctrlProps/ctrlProp377.xml"/><Relationship Id="rId436" Type="http://schemas.openxmlformats.org/officeDocument/2006/relationships/ctrlProp" Target="../ctrlProps/ctrlProp433.xml"/><Relationship Id="rId601" Type="http://schemas.openxmlformats.org/officeDocument/2006/relationships/ctrlProp" Target="../ctrlProps/ctrlProp598.xml"/><Relationship Id="rId643" Type="http://schemas.openxmlformats.org/officeDocument/2006/relationships/ctrlProp" Target="../ctrlProps/ctrlProp640.xml"/><Relationship Id="rId240" Type="http://schemas.openxmlformats.org/officeDocument/2006/relationships/ctrlProp" Target="../ctrlProps/ctrlProp237.xml"/><Relationship Id="rId478" Type="http://schemas.openxmlformats.org/officeDocument/2006/relationships/ctrlProp" Target="../ctrlProps/ctrlProp475.xml"/><Relationship Id="rId35" Type="http://schemas.openxmlformats.org/officeDocument/2006/relationships/ctrlProp" Target="../ctrlProps/ctrlProp32.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338" Type="http://schemas.openxmlformats.org/officeDocument/2006/relationships/ctrlProp" Target="../ctrlProps/ctrlProp335.xml"/><Relationship Id="rId503" Type="http://schemas.openxmlformats.org/officeDocument/2006/relationships/ctrlProp" Target="../ctrlProps/ctrlProp500.xml"/><Relationship Id="rId545" Type="http://schemas.openxmlformats.org/officeDocument/2006/relationships/ctrlProp" Target="../ctrlProps/ctrlProp542.xml"/><Relationship Id="rId587" Type="http://schemas.openxmlformats.org/officeDocument/2006/relationships/ctrlProp" Target="../ctrlProps/ctrlProp584.xml"/><Relationship Id="rId8" Type="http://schemas.openxmlformats.org/officeDocument/2006/relationships/ctrlProp" Target="../ctrlProps/ctrlProp5.xml"/><Relationship Id="rId142" Type="http://schemas.openxmlformats.org/officeDocument/2006/relationships/ctrlProp" Target="../ctrlProps/ctrlProp139.xml"/><Relationship Id="rId184" Type="http://schemas.openxmlformats.org/officeDocument/2006/relationships/ctrlProp" Target="../ctrlProps/ctrlProp181.xml"/><Relationship Id="rId391" Type="http://schemas.openxmlformats.org/officeDocument/2006/relationships/ctrlProp" Target="../ctrlProps/ctrlProp388.xml"/><Relationship Id="rId405" Type="http://schemas.openxmlformats.org/officeDocument/2006/relationships/ctrlProp" Target="../ctrlProps/ctrlProp402.xml"/><Relationship Id="rId447" Type="http://schemas.openxmlformats.org/officeDocument/2006/relationships/ctrlProp" Target="../ctrlProps/ctrlProp444.xml"/><Relationship Id="rId612" Type="http://schemas.openxmlformats.org/officeDocument/2006/relationships/ctrlProp" Target="../ctrlProps/ctrlProp609.xml"/><Relationship Id="rId251" Type="http://schemas.openxmlformats.org/officeDocument/2006/relationships/ctrlProp" Target="../ctrlProps/ctrlProp248.xml"/><Relationship Id="rId489" Type="http://schemas.openxmlformats.org/officeDocument/2006/relationships/ctrlProp" Target="../ctrlProps/ctrlProp486.xml"/><Relationship Id="rId46" Type="http://schemas.openxmlformats.org/officeDocument/2006/relationships/ctrlProp" Target="../ctrlProps/ctrlProp43.xml"/><Relationship Id="rId293" Type="http://schemas.openxmlformats.org/officeDocument/2006/relationships/ctrlProp" Target="../ctrlProps/ctrlProp290.xml"/><Relationship Id="rId307" Type="http://schemas.openxmlformats.org/officeDocument/2006/relationships/ctrlProp" Target="../ctrlProps/ctrlProp304.xml"/><Relationship Id="rId349" Type="http://schemas.openxmlformats.org/officeDocument/2006/relationships/ctrlProp" Target="../ctrlProps/ctrlProp346.xml"/><Relationship Id="rId514" Type="http://schemas.openxmlformats.org/officeDocument/2006/relationships/ctrlProp" Target="../ctrlProps/ctrlProp511.xml"/><Relationship Id="rId556" Type="http://schemas.openxmlformats.org/officeDocument/2006/relationships/ctrlProp" Target="../ctrlProps/ctrlProp553.xml"/><Relationship Id="rId88" Type="http://schemas.openxmlformats.org/officeDocument/2006/relationships/ctrlProp" Target="../ctrlProps/ctrlProp85.xml"/><Relationship Id="rId111" Type="http://schemas.openxmlformats.org/officeDocument/2006/relationships/ctrlProp" Target="../ctrlProps/ctrlProp108.xml"/><Relationship Id="rId153" Type="http://schemas.openxmlformats.org/officeDocument/2006/relationships/ctrlProp" Target="../ctrlProps/ctrlProp150.xml"/><Relationship Id="rId195" Type="http://schemas.openxmlformats.org/officeDocument/2006/relationships/ctrlProp" Target="../ctrlProps/ctrlProp192.xml"/><Relationship Id="rId209" Type="http://schemas.openxmlformats.org/officeDocument/2006/relationships/ctrlProp" Target="../ctrlProps/ctrlProp206.xml"/><Relationship Id="rId360" Type="http://schemas.openxmlformats.org/officeDocument/2006/relationships/ctrlProp" Target="../ctrlProps/ctrlProp357.xml"/><Relationship Id="rId416" Type="http://schemas.openxmlformats.org/officeDocument/2006/relationships/ctrlProp" Target="../ctrlProps/ctrlProp413.xml"/><Relationship Id="rId598" Type="http://schemas.openxmlformats.org/officeDocument/2006/relationships/ctrlProp" Target="../ctrlProps/ctrlProp595.xml"/><Relationship Id="rId220" Type="http://schemas.openxmlformats.org/officeDocument/2006/relationships/ctrlProp" Target="../ctrlProps/ctrlProp217.xml"/><Relationship Id="rId458" Type="http://schemas.openxmlformats.org/officeDocument/2006/relationships/ctrlProp" Target="../ctrlProps/ctrlProp455.xml"/><Relationship Id="rId623" Type="http://schemas.openxmlformats.org/officeDocument/2006/relationships/ctrlProp" Target="../ctrlProps/ctrlProp620.xml"/><Relationship Id="rId15" Type="http://schemas.openxmlformats.org/officeDocument/2006/relationships/ctrlProp" Target="../ctrlProps/ctrlProp12.xml"/><Relationship Id="rId57" Type="http://schemas.openxmlformats.org/officeDocument/2006/relationships/ctrlProp" Target="../ctrlProps/ctrlProp54.xml"/><Relationship Id="rId262" Type="http://schemas.openxmlformats.org/officeDocument/2006/relationships/ctrlProp" Target="../ctrlProps/ctrlProp259.xml"/><Relationship Id="rId318" Type="http://schemas.openxmlformats.org/officeDocument/2006/relationships/ctrlProp" Target="../ctrlProps/ctrlProp315.xml"/><Relationship Id="rId525" Type="http://schemas.openxmlformats.org/officeDocument/2006/relationships/ctrlProp" Target="../ctrlProps/ctrlProp522.xml"/><Relationship Id="rId567" Type="http://schemas.openxmlformats.org/officeDocument/2006/relationships/ctrlProp" Target="../ctrlProps/ctrlProp564.xml"/><Relationship Id="rId99" Type="http://schemas.openxmlformats.org/officeDocument/2006/relationships/ctrlProp" Target="../ctrlProps/ctrlProp96.xml"/><Relationship Id="rId122" Type="http://schemas.openxmlformats.org/officeDocument/2006/relationships/ctrlProp" Target="../ctrlProps/ctrlProp119.xml"/><Relationship Id="rId164" Type="http://schemas.openxmlformats.org/officeDocument/2006/relationships/ctrlProp" Target="../ctrlProps/ctrlProp161.xml"/><Relationship Id="rId371" Type="http://schemas.openxmlformats.org/officeDocument/2006/relationships/ctrlProp" Target="../ctrlProps/ctrlProp368.xml"/><Relationship Id="rId427" Type="http://schemas.openxmlformats.org/officeDocument/2006/relationships/ctrlProp" Target="../ctrlProps/ctrlProp424.xml"/><Relationship Id="rId469" Type="http://schemas.openxmlformats.org/officeDocument/2006/relationships/ctrlProp" Target="../ctrlProps/ctrlProp466.xml"/><Relationship Id="rId634" Type="http://schemas.openxmlformats.org/officeDocument/2006/relationships/ctrlProp" Target="../ctrlProps/ctrlProp631.xml"/><Relationship Id="rId26" Type="http://schemas.openxmlformats.org/officeDocument/2006/relationships/ctrlProp" Target="../ctrlProps/ctrlProp23.xml"/><Relationship Id="rId231" Type="http://schemas.openxmlformats.org/officeDocument/2006/relationships/ctrlProp" Target="../ctrlProps/ctrlProp228.xml"/><Relationship Id="rId273" Type="http://schemas.openxmlformats.org/officeDocument/2006/relationships/ctrlProp" Target="../ctrlProps/ctrlProp270.xml"/><Relationship Id="rId329" Type="http://schemas.openxmlformats.org/officeDocument/2006/relationships/ctrlProp" Target="../ctrlProps/ctrlProp326.xml"/><Relationship Id="rId480" Type="http://schemas.openxmlformats.org/officeDocument/2006/relationships/ctrlProp" Target="../ctrlProps/ctrlProp477.xml"/><Relationship Id="rId536" Type="http://schemas.openxmlformats.org/officeDocument/2006/relationships/ctrlProp" Target="../ctrlProps/ctrlProp533.xml"/><Relationship Id="rId68" Type="http://schemas.openxmlformats.org/officeDocument/2006/relationships/ctrlProp" Target="../ctrlProps/ctrlProp65.xml"/><Relationship Id="rId133" Type="http://schemas.openxmlformats.org/officeDocument/2006/relationships/ctrlProp" Target="../ctrlProps/ctrlProp130.xml"/><Relationship Id="rId175" Type="http://schemas.openxmlformats.org/officeDocument/2006/relationships/ctrlProp" Target="../ctrlProps/ctrlProp172.xml"/><Relationship Id="rId340" Type="http://schemas.openxmlformats.org/officeDocument/2006/relationships/ctrlProp" Target="../ctrlProps/ctrlProp337.xml"/><Relationship Id="rId578" Type="http://schemas.openxmlformats.org/officeDocument/2006/relationships/ctrlProp" Target="../ctrlProps/ctrlProp575.xml"/><Relationship Id="rId200" Type="http://schemas.openxmlformats.org/officeDocument/2006/relationships/ctrlProp" Target="../ctrlProps/ctrlProp197.xml"/><Relationship Id="rId382" Type="http://schemas.openxmlformats.org/officeDocument/2006/relationships/ctrlProp" Target="../ctrlProps/ctrlProp379.xml"/><Relationship Id="rId438" Type="http://schemas.openxmlformats.org/officeDocument/2006/relationships/ctrlProp" Target="../ctrlProps/ctrlProp435.xml"/><Relationship Id="rId603" Type="http://schemas.openxmlformats.org/officeDocument/2006/relationships/ctrlProp" Target="../ctrlProps/ctrlProp600.xml"/><Relationship Id="rId645" Type="http://schemas.openxmlformats.org/officeDocument/2006/relationships/ctrlProp" Target="../ctrlProps/ctrlProp642.xml"/><Relationship Id="rId242" Type="http://schemas.openxmlformats.org/officeDocument/2006/relationships/ctrlProp" Target="../ctrlProps/ctrlProp239.xml"/><Relationship Id="rId284" Type="http://schemas.openxmlformats.org/officeDocument/2006/relationships/ctrlProp" Target="../ctrlProps/ctrlProp281.xml"/><Relationship Id="rId491" Type="http://schemas.openxmlformats.org/officeDocument/2006/relationships/ctrlProp" Target="../ctrlProps/ctrlProp488.xml"/><Relationship Id="rId505" Type="http://schemas.openxmlformats.org/officeDocument/2006/relationships/ctrlProp" Target="../ctrlProps/ctrlProp502.xml"/><Relationship Id="rId37" Type="http://schemas.openxmlformats.org/officeDocument/2006/relationships/ctrlProp" Target="../ctrlProps/ctrlProp34.xml"/><Relationship Id="rId79" Type="http://schemas.openxmlformats.org/officeDocument/2006/relationships/ctrlProp" Target="../ctrlProps/ctrlProp76.xml"/><Relationship Id="rId102" Type="http://schemas.openxmlformats.org/officeDocument/2006/relationships/ctrlProp" Target="../ctrlProps/ctrlProp99.xml"/><Relationship Id="rId144" Type="http://schemas.openxmlformats.org/officeDocument/2006/relationships/ctrlProp" Target="../ctrlProps/ctrlProp141.xml"/><Relationship Id="rId547" Type="http://schemas.openxmlformats.org/officeDocument/2006/relationships/ctrlProp" Target="../ctrlProps/ctrlProp544.xml"/><Relationship Id="rId589" Type="http://schemas.openxmlformats.org/officeDocument/2006/relationships/ctrlProp" Target="../ctrlProps/ctrlProp586.xml"/><Relationship Id="rId90" Type="http://schemas.openxmlformats.org/officeDocument/2006/relationships/ctrlProp" Target="../ctrlProps/ctrlProp87.xml"/><Relationship Id="rId186" Type="http://schemas.openxmlformats.org/officeDocument/2006/relationships/ctrlProp" Target="../ctrlProps/ctrlProp183.xml"/><Relationship Id="rId351" Type="http://schemas.openxmlformats.org/officeDocument/2006/relationships/ctrlProp" Target="../ctrlProps/ctrlProp348.xml"/><Relationship Id="rId393" Type="http://schemas.openxmlformats.org/officeDocument/2006/relationships/ctrlProp" Target="../ctrlProps/ctrlProp390.xml"/><Relationship Id="rId407" Type="http://schemas.openxmlformats.org/officeDocument/2006/relationships/ctrlProp" Target="../ctrlProps/ctrlProp404.xml"/><Relationship Id="rId449" Type="http://schemas.openxmlformats.org/officeDocument/2006/relationships/ctrlProp" Target="../ctrlProps/ctrlProp446.xml"/><Relationship Id="rId614" Type="http://schemas.openxmlformats.org/officeDocument/2006/relationships/ctrlProp" Target="../ctrlProps/ctrlProp611.xml"/><Relationship Id="rId211" Type="http://schemas.openxmlformats.org/officeDocument/2006/relationships/ctrlProp" Target="../ctrlProps/ctrlProp208.xml"/><Relationship Id="rId253" Type="http://schemas.openxmlformats.org/officeDocument/2006/relationships/ctrlProp" Target="../ctrlProps/ctrlProp250.xml"/><Relationship Id="rId295" Type="http://schemas.openxmlformats.org/officeDocument/2006/relationships/ctrlProp" Target="../ctrlProps/ctrlProp292.xml"/><Relationship Id="rId309" Type="http://schemas.openxmlformats.org/officeDocument/2006/relationships/ctrlProp" Target="../ctrlProps/ctrlProp306.xml"/><Relationship Id="rId460" Type="http://schemas.openxmlformats.org/officeDocument/2006/relationships/ctrlProp" Target="../ctrlProps/ctrlProp457.xml"/><Relationship Id="rId516" Type="http://schemas.openxmlformats.org/officeDocument/2006/relationships/ctrlProp" Target="../ctrlProps/ctrlProp513.xml"/><Relationship Id="rId48" Type="http://schemas.openxmlformats.org/officeDocument/2006/relationships/ctrlProp" Target="../ctrlProps/ctrlProp45.xml"/><Relationship Id="rId113" Type="http://schemas.openxmlformats.org/officeDocument/2006/relationships/ctrlProp" Target="../ctrlProps/ctrlProp110.xml"/><Relationship Id="rId320" Type="http://schemas.openxmlformats.org/officeDocument/2006/relationships/ctrlProp" Target="../ctrlProps/ctrlProp317.xml"/><Relationship Id="rId558" Type="http://schemas.openxmlformats.org/officeDocument/2006/relationships/ctrlProp" Target="../ctrlProps/ctrlProp555.xml"/><Relationship Id="rId155" Type="http://schemas.openxmlformats.org/officeDocument/2006/relationships/ctrlProp" Target="../ctrlProps/ctrlProp152.xml"/><Relationship Id="rId197" Type="http://schemas.openxmlformats.org/officeDocument/2006/relationships/ctrlProp" Target="../ctrlProps/ctrlProp194.xml"/><Relationship Id="rId362" Type="http://schemas.openxmlformats.org/officeDocument/2006/relationships/ctrlProp" Target="../ctrlProps/ctrlProp359.xml"/><Relationship Id="rId418" Type="http://schemas.openxmlformats.org/officeDocument/2006/relationships/ctrlProp" Target="../ctrlProps/ctrlProp415.xml"/><Relationship Id="rId625" Type="http://schemas.openxmlformats.org/officeDocument/2006/relationships/ctrlProp" Target="../ctrlProps/ctrlProp622.xml"/><Relationship Id="rId222" Type="http://schemas.openxmlformats.org/officeDocument/2006/relationships/ctrlProp" Target="../ctrlProps/ctrlProp219.xml"/><Relationship Id="rId264" Type="http://schemas.openxmlformats.org/officeDocument/2006/relationships/ctrlProp" Target="../ctrlProps/ctrlProp261.xml"/><Relationship Id="rId471" Type="http://schemas.openxmlformats.org/officeDocument/2006/relationships/ctrlProp" Target="../ctrlProps/ctrlProp468.xml"/><Relationship Id="rId17" Type="http://schemas.openxmlformats.org/officeDocument/2006/relationships/ctrlProp" Target="../ctrlProps/ctrlProp14.xml"/><Relationship Id="rId59" Type="http://schemas.openxmlformats.org/officeDocument/2006/relationships/ctrlProp" Target="../ctrlProps/ctrlProp56.xml"/><Relationship Id="rId124" Type="http://schemas.openxmlformats.org/officeDocument/2006/relationships/ctrlProp" Target="../ctrlProps/ctrlProp121.xml"/><Relationship Id="rId527" Type="http://schemas.openxmlformats.org/officeDocument/2006/relationships/ctrlProp" Target="../ctrlProps/ctrlProp524.xml"/><Relationship Id="rId569" Type="http://schemas.openxmlformats.org/officeDocument/2006/relationships/ctrlProp" Target="../ctrlProps/ctrlProp566.xml"/><Relationship Id="rId70" Type="http://schemas.openxmlformats.org/officeDocument/2006/relationships/ctrlProp" Target="../ctrlProps/ctrlProp67.xml"/><Relationship Id="rId166" Type="http://schemas.openxmlformats.org/officeDocument/2006/relationships/ctrlProp" Target="../ctrlProps/ctrlProp163.xml"/><Relationship Id="rId331" Type="http://schemas.openxmlformats.org/officeDocument/2006/relationships/ctrlProp" Target="../ctrlProps/ctrlProp328.xml"/><Relationship Id="rId373" Type="http://schemas.openxmlformats.org/officeDocument/2006/relationships/ctrlProp" Target="../ctrlProps/ctrlProp370.xml"/><Relationship Id="rId429" Type="http://schemas.openxmlformats.org/officeDocument/2006/relationships/ctrlProp" Target="../ctrlProps/ctrlProp426.xml"/><Relationship Id="rId580" Type="http://schemas.openxmlformats.org/officeDocument/2006/relationships/ctrlProp" Target="../ctrlProps/ctrlProp577.xml"/><Relationship Id="rId636" Type="http://schemas.openxmlformats.org/officeDocument/2006/relationships/ctrlProp" Target="../ctrlProps/ctrlProp633.xml"/><Relationship Id="rId1" Type="http://schemas.openxmlformats.org/officeDocument/2006/relationships/printerSettings" Target="../printerSettings/printerSettings1.bin"/><Relationship Id="rId233" Type="http://schemas.openxmlformats.org/officeDocument/2006/relationships/ctrlProp" Target="../ctrlProps/ctrlProp230.xml"/><Relationship Id="rId440" Type="http://schemas.openxmlformats.org/officeDocument/2006/relationships/ctrlProp" Target="../ctrlProps/ctrlProp437.xml"/><Relationship Id="rId28" Type="http://schemas.openxmlformats.org/officeDocument/2006/relationships/ctrlProp" Target="../ctrlProps/ctrlProp25.xml"/><Relationship Id="rId275" Type="http://schemas.openxmlformats.org/officeDocument/2006/relationships/ctrlProp" Target="../ctrlProps/ctrlProp272.xml"/><Relationship Id="rId300" Type="http://schemas.openxmlformats.org/officeDocument/2006/relationships/ctrlProp" Target="../ctrlProps/ctrlProp297.xml"/><Relationship Id="rId482" Type="http://schemas.openxmlformats.org/officeDocument/2006/relationships/ctrlProp" Target="../ctrlProps/ctrlProp479.xml"/><Relationship Id="rId538" Type="http://schemas.openxmlformats.org/officeDocument/2006/relationships/ctrlProp" Target="../ctrlProps/ctrlProp535.xml"/><Relationship Id="rId81" Type="http://schemas.openxmlformats.org/officeDocument/2006/relationships/ctrlProp" Target="../ctrlProps/ctrlProp78.xml"/><Relationship Id="rId135" Type="http://schemas.openxmlformats.org/officeDocument/2006/relationships/ctrlProp" Target="../ctrlProps/ctrlProp132.xml"/><Relationship Id="rId177" Type="http://schemas.openxmlformats.org/officeDocument/2006/relationships/ctrlProp" Target="../ctrlProps/ctrlProp174.xml"/><Relationship Id="rId342" Type="http://schemas.openxmlformats.org/officeDocument/2006/relationships/ctrlProp" Target="../ctrlProps/ctrlProp339.xml"/><Relationship Id="rId384" Type="http://schemas.openxmlformats.org/officeDocument/2006/relationships/ctrlProp" Target="../ctrlProps/ctrlProp381.xml"/><Relationship Id="rId591" Type="http://schemas.openxmlformats.org/officeDocument/2006/relationships/ctrlProp" Target="../ctrlProps/ctrlProp588.xml"/><Relationship Id="rId605" Type="http://schemas.openxmlformats.org/officeDocument/2006/relationships/ctrlProp" Target="../ctrlProps/ctrlProp602.xml"/><Relationship Id="rId202" Type="http://schemas.openxmlformats.org/officeDocument/2006/relationships/ctrlProp" Target="../ctrlProps/ctrlProp199.xml"/><Relationship Id="rId244" Type="http://schemas.openxmlformats.org/officeDocument/2006/relationships/ctrlProp" Target="../ctrlProps/ctrlProp241.xml"/><Relationship Id="rId647" Type="http://schemas.openxmlformats.org/officeDocument/2006/relationships/ctrlProp" Target="../ctrlProps/ctrlProp644.xml"/><Relationship Id="rId39" Type="http://schemas.openxmlformats.org/officeDocument/2006/relationships/ctrlProp" Target="../ctrlProps/ctrlProp36.xml"/><Relationship Id="rId286" Type="http://schemas.openxmlformats.org/officeDocument/2006/relationships/ctrlProp" Target="../ctrlProps/ctrlProp283.xml"/><Relationship Id="rId451" Type="http://schemas.openxmlformats.org/officeDocument/2006/relationships/ctrlProp" Target="../ctrlProps/ctrlProp448.xml"/><Relationship Id="rId493" Type="http://schemas.openxmlformats.org/officeDocument/2006/relationships/ctrlProp" Target="../ctrlProps/ctrlProp490.xml"/><Relationship Id="rId507" Type="http://schemas.openxmlformats.org/officeDocument/2006/relationships/ctrlProp" Target="../ctrlProps/ctrlProp504.xml"/><Relationship Id="rId549" Type="http://schemas.openxmlformats.org/officeDocument/2006/relationships/ctrlProp" Target="../ctrlProps/ctrlProp546.xml"/><Relationship Id="rId50" Type="http://schemas.openxmlformats.org/officeDocument/2006/relationships/ctrlProp" Target="../ctrlProps/ctrlProp47.xml"/><Relationship Id="rId104" Type="http://schemas.openxmlformats.org/officeDocument/2006/relationships/ctrlProp" Target="../ctrlProps/ctrlProp101.xml"/><Relationship Id="rId146" Type="http://schemas.openxmlformats.org/officeDocument/2006/relationships/ctrlProp" Target="../ctrlProps/ctrlProp143.xml"/><Relationship Id="rId188" Type="http://schemas.openxmlformats.org/officeDocument/2006/relationships/ctrlProp" Target="../ctrlProps/ctrlProp185.xml"/><Relationship Id="rId311" Type="http://schemas.openxmlformats.org/officeDocument/2006/relationships/ctrlProp" Target="../ctrlProps/ctrlProp308.xml"/><Relationship Id="rId353" Type="http://schemas.openxmlformats.org/officeDocument/2006/relationships/ctrlProp" Target="../ctrlProps/ctrlProp350.xml"/><Relationship Id="rId395" Type="http://schemas.openxmlformats.org/officeDocument/2006/relationships/ctrlProp" Target="../ctrlProps/ctrlProp392.xml"/><Relationship Id="rId409" Type="http://schemas.openxmlformats.org/officeDocument/2006/relationships/ctrlProp" Target="../ctrlProps/ctrlProp406.xml"/><Relationship Id="rId560" Type="http://schemas.openxmlformats.org/officeDocument/2006/relationships/ctrlProp" Target="../ctrlProps/ctrlProp557.xml"/><Relationship Id="rId92" Type="http://schemas.openxmlformats.org/officeDocument/2006/relationships/ctrlProp" Target="../ctrlProps/ctrlProp89.xml"/><Relationship Id="rId213" Type="http://schemas.openxmlformats.org/officeDocument/2006/relationships/ctrlProp" Target="../ctrlProps/ctrlProp210.xml"/><Relationship Id="rId420" Type="http://schemas.openxmlformats.org/officeDocument/2006/relationships/ctrlProp" Target="../ctrlProps/ctrlProp417.xml"/><Relationship Id="rId616" Type="http://schemas.openxmlformats.org/officeDocument/2006/relationships/ctrlProp" Target="../ctrlProps/ctrlProp613.xml"/><Relationship Id="rId255" Type="http://schemas.openxmlformats.org/officeDocument/2006/relationships/ctrlProp" Target="../ctrlProps/ctrlProp252.xml"/><Relationship Id="rId297" Type="http://schemas.openxmlformats.org/officeDocument/2006/relationships/ctrlProp" Target="../ctrlProps/ctrlProp294.xml"/><Relationship Id="rId462" Type="http://schemas.openxmlformats.org/officeDocument/2006/relationships/ctrlProp" Target="../ctrlProps/ctrlProp459.xml"/><Relationship Id="rId518" Type="http://schemas.openxmlformats.org/officeDocument/2006/relationships/ctrlProp" Target="../ctrlProps/ctrlProp515.xml"/><Relationship Id="rId115" Type="http://schemas.openxmlformats.org/officeDocument/2006/relationships/ctrlProp" Target="../ctrlProps/ctrlProp112.xml"/><Relationship Id="rId157" Type="http://schemas.openxmlformats.org/officeDocument/2006/relationships/ctrlProp" Target="../ctrlProps/ctrlProp154.xml"/><Relationship Id="rId322" Type="http://schemas.openxmlformats.org/officeDocument/2006/relationships/ctrlProp" Target="../ctrlProps/ctrlProp319.xml"/><Relationship Id="rId364" Type="http://schemas.openxmlformats.org/officeDocument/2006/relationships/ctrlProp" Target="../ctrlProps/ctrlProp361.xml"/><Relationship Id="rId61" Type="http://schemas.openxmlformats.org/officeDocument/2006/relationships/ctrlProp" Target="../ctrlProps/ctrlProp58.xml"/><Relationship Id="rId199" Type="http://schemas.openxmlformats.org/officeDocument/2006/relationships/ctrlProp" Target="../ctrlProps/ctrlProp196.xml"/><Relationship Id="rId571" Type="http://schemas.openxmlformats.org/officeDocument/2006/relationships/ctrlProp" Target="../ctrlProps/ctrlProp568.xml"/><Relationship Id="rId627" Type="http://schemas.openxmlformats.org/officeDocument/2006/relationships/ctrlProp" Target="../ctrlProps/ctrlProp624.xml"/><Relationship Id="rId19" Type="http://schemas.openxmlformats.org/officeDocument/2006/relationships/ctrlProp" Target="../ctrlProps/ctrlProp16.xml"/><Relationship Id="rId224" Type="http://schemas.openxmlformats.org/officeDocument/2006/relationships/ctrlProp" Target="../ctrlProps/ctrlProp221.xml"/><Relationship Id="rId266" Type="http://schemas.openxmlformats.org/officeDocument/2006/relationships/ctrlProp" Target="../ctrlProps/ctrlProp263.xml"/><Relationship Id="rId431" Type="http://schemas.openxmlformats.org/officeDocument/2006/relationships/ctrlProp" Target="../ctrlProps/ctrlProp428.xml"/><Relationship Id="rId473" Type="http://schemas.openxmlformats.org/officeDocument/2006/relationships/ctrlProp" Target="../ctrlProps/ctrlProp470.xml"/><Relationship Id="rId529" Type="http://schemas.openxmlformats.org/officeDocument/2006/relationships/ctrlProp" Target="../ctrlProps/ctrlProp526.xml"/><Relationship Id="rId30" Type="http://schemas.openxmlformats.org/officeDocument/2006/relationships/ctrlProp" Target="../ctrlProps/ctrlProp27.xml"/><Relationship Id="rId126" Type="http://schemas.openxmlformats.org/officeDocument/2006/relationships/ctrlProp" Target="../ctrlProps/ctrlProp123.xml"/><Relationship Id="rId168" Type="http://schemas.openxmlformats.org/officeDocument/2006/relationships/ctrlProp" Target="../ctrlProps/ctrlProp165.xml"/><Relationship Id="rId333" Type="http://schemas.openxmlformats.org/officeDocument/2006/relationships/ctrlProp" Target="../ctrlProps/ctrlProp330.xml"/><Relationship Id="rId540" Type="http://schemas.openxmlformats.org/officeDocument/2006/relationships/ctrlProp" Target="../ctrlProps/ctrlProp537.xml"/><Relationship Id="rId72" Type="http://schemas.openxmlformats.org/officeDocument/2006/relationships/ctrlProp" Target="../ctrlProps/ctrlProp69.xml"/><Relationship Id="rId375" Type="http://schemas.openxmlformats.org/officeDocument/2006/relationships/ctrlProp" Target="../ctrlProps/ctrlProp372.xml"/><Relationship Id="rId582" Type="http://schemas.openxmlformats.org/officeDocument/2006/relationships/ctrlProp" Target="../ctrlProps/ctrlProp579.xml"/><Relationship Id="rId638" Type="http://schemas.openxmlformats.org/officeDocument/2006/relationships/ctrlProp" Target="../ctrlProps/ctrlProp635.xml"/><Relationship Id="rId3" Type="http://schemas.openxmlformats.org/officeDocument/2006/relationships/vmlDrawing" Target="../drawings/vmlDrawing1.vml"/><Relationship Id="rId235" Type="http://schemas.openxmlformats.org/officeDocument/2006/relationships/ctrlProp" Target="../ctrlProps/ctrlProp232.xml"/><Relationship Id="rId277" Type="http://schemas.openxmlformats.org/officeDocument/2006/relationships/ctrlProp" Target="../ctrlProps/ctrlProp274.xml"/><Relationship Id="rId400" Type="http://schemas.openxmlformats.org/officeDocument/2006/relationships/ctrlProp" Target="../ctrlProps/ctrlProp397.xml"/><Relationship Id="rId442" Type="http://schemas.openxmlformats.org/officeDocument/2006/relationships/ctrlProp" Target="../ctrlProps/ctrlProp439.xml"/><Relationship Id="rId484" Type="http://schemas.openxmlformats.org/officeDocument/2006/relationships/ctrlProp" Target="../ctrlProps/ctrlProp481.xml"/><Relationship Id="rId137" Type="http://schemas.openxmlformats.org/officeDocument/2006/relationships/ctrlProp" Target="../ctrlProps/ctrlProp134.xml"/><Relationship Id="rId302" Type="http://schemas.openxmlformats.org/officeDocument/2006/relationships/ctrlProp" Target="../ctrlProps/ctrlProp299.xml"/><Relationship Id="rId344" Type="http://schemas.openxmlformats.org/officeDocument/2006/relationships/ctrlProp" Target="../ctrlProps/ctrlProp341.xml"/><Relationship Id="rId41" Type="http://schemas.openxmlformats.org/officeDocument/2006/relationships/ctrlProp" Target="../ctrlProps/ctrlProp38.xml"/><Relationship Id="rId83" Type="http://schemas.openxmlformats.org/officeDocument/2006/relationships/ctrlProp" Target="../ctrlProps/ctrlProp80.xml"/><Relationship Id="rId179" Type="http://schemas.openxmlformats.org/officeDocument/2006/relationships/ctrlProp" Target="../ctrlProps/ctrlProp176.xml"/><Relationship Id="rId386" Type="http://schemas.openxmlformats.org/officeDocument/2006/relationships/ctrlProp" Target="../ctrlProps/ctrlProp383.xml"/><Relationship Id="rId551" Type="http://schemas.openxmlformats.org/officeDocument/2006/relationships/ctrlProp" Target="../ctrlProps/ctrlProp548.xml"/><Relationship Id="rId593" Type="http://schemas.openxmlformats.org/officeDocument/2006/relationships/ctrlProp" Target="../ctrlProps/ctrlProp590.xml"/><Relationship Id="rId607" Type="http://schemas.openxmlformats.org/officeDocument/2006/relationships/ctrlProp" Target="../ctrlProps/ctrlProp604.xml"/><Relationship Id="rId649" Type="http://schemas.openxmlformats.org/officeDocument/2006/relationships/table" Target="../tables/table2.xml"/><Relationship Id="rId190" Type="http://schemas.openxmlformats.org/officeDocument/2006/relationships/ctrlProp" Target="../ctrlProps/ctrlProp187.xml"/><Relationship Id="rId204" Type="http://schemas.openxmlformats.org/officeDocument/2006/relationships/ctrlProp" Target="../ctrlProps/ctrlProp201.xml"/><Relationship Id="rId246" Type="http://schemas.openxmlformats.org/officeDocument/2006/relationships/ctrlProp" Target="../ctrlProps/ctrlProp243.xml"/><Relationship Id="rId288" Type="http://schemas.openxmlformats.org/officeDocument/2006/relationships/ctrlProp" Target="../ctrlProps/ctrlProp285.xml"/><Relationship Id="rId411" Type="http://schemas.openxmlformats.org/officeDocument/2006/relationships/ctrlProp" Target="../ctrlProps/ctrlProp408.xml"/><Relationship Id="rId453" Type="http://schemas.openxmlformats.org/officeDocument/2006/relationships/ctrlProp" Target="../ctrlProps/ctrlProp450.xml"/><Relationship Id="rId509" Type="http://schemas.openxmlformats.org/officeDocument/2006/relationships/ctrlProp" Target="../ctrlProps/ctrlProp506.xml"/><Relationship Id="rId106" Type="http://schemas.openxmlformats.org/officeDocument/2006/relationships/ctrlProp" Target="../ctrlProps/ctrlProp103.xml"/><Relationship Id="rId313" Type="http://schemas.openxmlformats.org/officeDocument/2006/relationships/ctrlProp" Target="../ctrlProps/ctrlProp310.xml"/><Relationship Id="rId495" Type="http://schemas.openxmlformats.org/officeDocument/2006/relationships/ctrlProp" Target="../ctrlProps/ctrlProp492.xml"/><Relationship Id="rId10" Type="http://schemas.openxmlformats.org/officeDocument/2006/relationships/ctrlProp" Target="../ctrlProps/ctrlProp7.xml"/><Relationship Id="rId52" Type="http://schemas.openxmlformats.org/officeDocument/2006/relationships/ctrlProp" Target="../ctrlProps/ctrlProp49.xml"/><Relationship Id="rId94" Type="http://schemas.openxmlformats.org/officeDocument/2006/relationships/ctrlProp" Target="../ctrlProps/ctrlProp91.xml"/><Relationship Id="rId148" Type="http://schemas.openxmlformats.org/officeDocument/2006/relationships/ctrlProp" Target="../ctrlProps/ctrlProp145.xml"/><Relationship Id="rId355" Type="http://schemas.openxmlformats.org/officeDocument/2006/relationships/ctrlProp" Target="../ctrlProps/ctrlProp352.xml"/><Relationship Id="rId397" Type="http://schemas.openxmlformats.org/officeDocument/2006/relationships/ctrlProp" Target="../ctrlProps/ctrlProp394.xml"/><Relationship Id="rId520" Type="http://schemas.openxmlformats.org/officeDocument/2006/relationships/ctrlProp" Target="../ctrlProps/ctrlProp517.xml"/><Relationship Id="rId562" Type="http://schemas.openxmlformats.org/officeDocument/2006/relationships/ctrlProp" Target="../ctrlProps/ctrlProp559.xml"/><Relationship Id="rId618" Type="http://schemas.openxmlformats.org/officeDocument/2006/relationships/ctrlProp" Target="../ctrlProps/ctrlProp615.xml"/><Relationship Id="rId215" Type="http://schemas.openxmlformats.org/officeDocument/2006/relationships/ctrlProp" Target="../ctrlProps/ctrlProp212.xml"/><Relationship Id="rId257" Type="http://schemas.openxmlformats.org/officeDocument/2006/relationships/ctrlProp" Target="../ctrlProps/ctrlProp254.xml"/><Relationship Id="rId422" Type="http://schemas.openxmlformats.org/officeDocument/2006/relationships/ctrlProp" Target="../ctrlProps/ctrlProp419.xml"/><Relationship Id="rId464" Type="http://schemas.openxmlformats.org/officeDocument/2006/relationships/ctrlProp" Target="../ctrlProps/ctrlProp461.xml"/><Relationship Id="rId299" Type="http://schemas.openxmlformats.org/officeDocument/2006/relationships/ctrlProp" Target="../ctrlProps/ctrlProp296.xml"/><Relationship Id="rId63" Type="http://schemas.openxmlformats.org/officeDocument/2006/relationships/ctrlProp" Target="../ctrlProps/ctrlProp60.xml"/><Relationship Id="rId159" Type="http://schemas.openxmlformats.org/officeDocument/2006/relationships/ctrlProp" Target="../ctrlProps/ctrlProp156.xml"/><Relationship Id="rId366" Type="http://schemas.openxmlformats.org/officeDocument/2006/relationships/ctrlProp" Target="../ctrlProps/ctrlProp363.xml"/><Relationship Id="rId573" Type="http://schemas.openxmlformats.org/officeDocument/2006/relationships/ctrlProp" Target="../ctrlProps/ctrlProp570.xml"/><Relationship Id="rId226" Type="http://schemas.openxmlformats.org/officeDocument/2006/relationships/ctrlProp" Target="../ctrlProps/ctrlProp223.xml"/><Relationship Id="rId433" Type="http://schemas.openxmlformats.org/officeDocument/2006/relationships/ctrlProp" Target="../ctrlProps/ctrlProp430.xml"/><Relationship Id="rId640" Type="http://schemas.openxmlformats.org/officeDocument/2006/relationships/ctrlProp" Target="../ctrlProps/ctrlProp637.xml"/><Relationship Id="rId74" Type="http://schemas.openxmlformats.org/officeDocument/2006/relationships/ctrlProp" Target="../ctrlProps/ctrlProp71.xml"/><Relationship Id="rId377" Type="http://schemas.openxmlformats.org/officeDocument/2006/relationships/ctrlProp" Target="../ctrlProps/ctrlProp374.xml"/><Relationship Id="rId500" Type="http://schemas.openxmlformats.org/officeDocument/2006/relationships/ctrlProp" Target="../ctrlProps/ctrlProp497.xml"/><Relationship Id="rId584" Type="http://schemas.openxmlformats.org/officeDocument/2006/relationships/ctrlProp" Target="../ctrlProps/ctrlProp581.xml"/><Relationship Id="rId5" Type="http://schemas.openxmlformats.org/officeDocument/2006/relationships/ctrlProp" Target="../ctrlProps/ctrlProp2.xml"/><Relationship Id="rId237" Type="http://schemas.openxmlformats.org/officeDocument/2006/relationships/ctrlProp" Target="../ctrlProps/ctrlProp234.xml"/><Relationship Id="rId444" Type="http://schemas.openxmlformats.org/officeDocument/2006/relationships/ctrlProp" Target="../ctrlProps/ctrlProp441.xml"/><Relationship Id="rId290" Type="http://schemas.openxmlformats.org/officeDocument/2006/relationships/ctrlProp" Target="../ctrlProps/ctrlProp287.xml"/><Relationship Id="rId304" Type="http://schemas.openxmlformats.org/officeDocument/2006/relationships/ctrlProp" Target="../ctrlProps/ctrlProp301.xml"/><Relationship Id="rId388" Type="http://schemas.openxmlformats.org/officeDocument/2006/relationships/ctrlProp" Target="../ctrlProps/ctrlProp385.xml"/><Relationship Id="rId511" Type="http://schemas.openxmlformats.org/officeDocument/2006/relationships/ctrlProp" Target="../ctrlProps/ctrlProp508.xml"/><Relationship Id="rId609" Type="http://schemas.openxmlformats.org/officeDocument/2006/relationships/ctrlProp" Target="../ctrlProps/ctrlProp606.xml"/><Relationship Id="rId85" Type="http://schemas.openxmlformats.org/officeDocument/2006/relationships/ctrlProp" Target="../ctrlProps/ctrlProp82.xml"/><Relationship Id="rId150" Type="http://schemas.openxmlformats.org/officeDocument/2006/relationships/ctrlProp" Target="../ctrlProps/ctrlProp147.xml"/><Relationship Id="rId595" Type="http://schemas.openxmlformats.org/officeDocument/2006/relationships/ctrlProp" Target="../ctrlProps/ctrlProp592.xml"/><Relationship Id="rId248" Type="http://schemas.openxmlformats.org/officeDocument/2006/relationships/ctrlProp" Target="../ctrlProps/ctrlProp245.xml"/><Relationship Id="rId455" Type="http://schemas.openxmlformats.org/officeDocument/2006/relationships/ctrlProp" Target="../ctrlProps/ctrlProp452.xml"/><Relationship Id="rId12" Type="http://schemas.openxmlformats.org/officeDocument/2006/relationships/ctrlProp" Target="../ctrlProps/ctrlProp9.xml"/><Relationship Id="rId108" Type="http://schemas.openxmlformats.org/officeDocument/2006/relationships/ctrlProp" Target="../ctrlProps/ctrlProp105.xml"/><Relationship Id="rId315" Type="http://schemas.openxmlformats.org/officeDocument/2006/relationships/ctrlProp" Target="../ctrlProps/ctrlProp312.xml"/><Relationship Id="rId522" Type="http://schemas.openxmlformats.org/officeDocument/2006/relationships/ctrlProp" Target="../ctrlProps/ctrlProp519.xml"/><Relationship Id="rId96" Type="http://schemas.openxmlformats.org/officeDocument/2006/relationships/ctrlProp" Target="../ctrlProps/ctrlProp93.xml"/><Relationship Id="rId161" Type="http://schemas.openxmlformats.org/officeDocument/2006/relationships/ctrlProp" Target="../ctrlProps/ctrlProp158.xml"/><Relationship Id="rId399" Type="http://schemas.openxmlformats.org/officeDocument/2006/relationships/ctrlProp" Target="../ctrlProps/ctrlProp396.xml"/><Relationship Id="rId259" Type="http://schemas.openxmlformats.org/officeDocument/2006/relationships/ctrlProp" Target="../ctrlProps/ctrlProp256.xml"/><Relationship Id="rId466" Type="http://schemas.openxmlformats.org/officeDocument/2006/relationships/ctrlProp" Target="../ctrlProps/ctrlProp463.xml"/><Relationship Id="rId23" Type="http://schemas.openxmlformats.org/officeDocument/2006/relationships/ctrlProp" Target="../ctrlProps/ctrlProp20.xml"/><Relationship Id="rId119" Type="http://schemas.openxmlformats.org/officeDocument/2006/relationships/ctrlProp" Target="../ctrlProps/ctrlProp116.xml"/><Relationship Id="rId326" Type="http://schemas.openxmlformats.org/officeDocument/2006/relationships/ctrlProp" Target="../ctrlProps/ctrlProp323.xml"/><Relationship Id="rId533" Type="http://schemas.openxmlformats.org/officeDocument/2006/relationships/ctrlProp" Target="../ctrlProps/ctrlProp530.xml"/><Relationship Id="rId172" Type="http://schemas.openxmlformats.org/officeDocument/2006/relationships/ctrlProp" Target="../ctrlProps/ctrlProp169.xml"/><Relationship Id="rId477" Type="http://schemas.openxmlformats.org/officeDocument/2006/relationships/ctrlProp" Target="../ctrlProps/ctrlProp474.xml"/><Relationship Id="rId600" Type="http://schemas.openxmlformats.org/officeDocument/2006/relationships/ctrlProp" Target="../ctrlProps/ctrlProp597.xml"/><Relationship Id="rId337" Type="http://schemas.openxmlformats.org/officeDocument/2006/relationships/ctrlProp" Target="../ctrlProps/ctrlProp334.xml"/><Relationship Id="rId34" Type="http://schemas.openxmlformats.org/officeDocument/2006/relationships/ctrlProp" Target="../ctrlProps/ctrlProp31.xml"/><Relationship Id="rId544" Type="http://schemas.openxmlformats.org/officeDocument/2006/relationships/ctrlProp" Target="../ctrlProps/ctrlProp541.xml"/><Relationship Id="rId183" Type="http://schemas.openxmlformats.org/officeDocument/2006/relationships/ctrlProp" Target="../ctrlProps/ctrlProp180.xml"/><Relationship Id="rId390" Type="http://schemas.openxmlformats.org/officeDocument/2006/relationships/ctrlProp" Target="../ctrlProps/ctrlProp387.xml"/><Relationship Id="rId404" Type="http://schemas.openxmlformats.org/officeDocument/2006/relationships/ctrlProp" Target="../ctrlProps/ctrlProp401.xml"/><Relationship Id="rId611" Type="http://schemas.openxmlformats.org/officeDocument/2006/relationships/ctrlProp" Target="../ctrlProps/ctrlProp608.xml"/><Relationship Id="rId250" Type="http://schemas.openxmlformats.org/officeDocument/2006/relationships/ctrlProp" Target="../ctrlProps/ctrlProp247.xml"/><Relationship Id="rId488" Type="http://schemas.openxmlformats.org/officeDocument/2006/relationships/ctrlProp" Target="../ctrlProps/ctrlProp485.xml"/><Relationship Id="rId45" Type="http://schemas.openxmlformats.org/officeDocument/2006/relationships/ctrlProp" Target="../ctrlProps/ctrlProp42.xml"/><Relationship Id="rId110" Type="http://schemas.openxmlformats.org/officeDocument/2006/relationships/ctrlProp" Target="../ctrlProps/ctrlProp107.xml"/><Relationship Id="rId348" Type="http://schemas.openxmlformats.org/officeDocument/2006/relationships/ctrlProp" Target="../ctrlProps/ctrlProp345.xml"/><Relationship Id="rId555" Type="http://schemas.openxmlformats.org/officeDocument/2006/relationships/ctrlProp" Target="../ctrlProps/ctrlProp552.xml"/><Relationship Id="rId194" Type="http://schemas.openxmlformats.org/officeDocument/2006/relationships/ctrlProp" Target="../ctrlProps/ctrlProp191.xml"/><Relationship Id="rId208" Type="http://schemas.openxmlformats.org/officeDocument/2006/relationships/ctrlProp" Target="../ctrlProps/ctrlProp205.xml"/><Relationship Id="rId415" Type="http://schemas.openxmlformats.org/officeDocument/2006/relationships/ctrlProp" Target="../ctrlProps/ctrlProp412.xml"/><Relationship Id="rId622" Type="http://schemas.openxmlformats.org/officeDocument/2006/relationships/ctrlProp" Target="../ctrlProps/ctrlProp619.xml"/><Relationship Id="rId261" Type="http://schemas.openxmlformats.org/officeDocument/2006/relationships/ctrlProp" Target="../ctrlProps/ctrlProp258.xml"/><Relationship Id="rId499" Type="http://schemas.openxmlformats.org/officeDocument/2006/relationships/ctrlProp" Target="../ctrlProps/ctrlProp496.xml"/><Relationship Id="rId56" Type="http://schemas.openxmlformats.org/officeDocument/2006/relationships/ctrlProp" Target="../ctrlProps/ctrlProp53.xml"/><Relationship Id="rId359" Type="http://schemas.openxmlformats.org/officeDocument/2006/relationships/ctrlProp" Target="../ctrlProps/ctrlProp356.xml"/><Relationship Id="rId566" Type="http://schemas.openxmlformats.org/officeDocument/2006/relationships/ctrlProp" Target="../ctrlProps/ctrlProp563.xml"/><Relationship Id="rId121" Type="http://schemas.openxmlformats.org/officeDocument/2006/relationships/ctrlProp" Target="../ctrlProps/ctrlProp118.xml"/><Relationship Id="rId219" Type="http://schemas.openxmlformats.org/officeDocument/2006/relationships/ctrlProp" Target="../ctrlProps/ctrlProp216.xml"/><Relationship Id="rId426" Type="http://schemas.openxmlformats.org/officeDocument/2006/relationships/ctrlProp" Target="../ctrlProps/ctrlProp423.xml"/><Relationship Id="rId633" Type="http://schemas.openxmlformats.org/officeDocument/2006/relationships/ctrlProp" Target="../ctrlProps/ctrlProp630.xml"/><Relationship Id="rId67" Type="http://schemas.openxmlformats.org/officeDocument/2006/relationships/ctrlProp" Target="../ctrlProps/ctrlProp64.xml"/><Relationship Id="rId272" Type="http://schemas.openxmlformats.org/officeDocument/2006/relationships/ctrlProp" Target="../ctrlProps/ctrlProp269.xml"/><Relationship Id="rId577" Type="http://schemas.openxmlformats.org/officeDocument/2006/relationships/ctrlProp" Target="../ctrlProps/ctrlProp574.xml"/><Relationship Id="rId132" Type="http://schemas.openxmlformats.org/officeDocument/2006/relationships/ctrlProp" Target="../ctrlProps/ctrlProp129.xml"/><Relationship Id="rId437" Type="http://schemas.openxmlformats.org/officeDocument/2006/relationships/ctrlProp" Target="../ctrlProps/ctrlProp434.xml"/><Relationship Id="rId644" Type="http://schemas.openxmlformats.org/officeDocument/2006/relationships/ctrlProp" Target="../ctrlProps/ctrlProp641.xml"/><Relationship Id="rId283" Type="http://schemas.openxmlformats.org/officeDocument/2006/relationships/ctrlProp" Target="../ctrlProps/ctrlProp280.xml"/><Relationship Id="rId490" Type="http://schemas.openxmlformats.org/officeDocument/2006/relationships/ctrlProp" Target="../ctrlProps/ctrlProp487.xml"/><Relationship Id="rId504" Type="http://schemas.openxmlformats.org/officeDocument/2006/relationships/ctrlProp" Target="../ctrlProps/ctrlProp501.xml"/><Relationship Id="rId78" Type="http://schemas.openxmlformats.org/officeDocument/2006/relationships/ctrlProp" Target="../ctrlProps/ctrlProp75.xml"/><Relationship Id="rId143" Type="http://schemas.openxmlformats.org/officeDocument/2006/relationships/ctrlProp" Target="../ctrlProps/ctrlProp140.xml"/><Relationship Id="rId350" Type="http://schemas.openxmlformats.org/officeDocument/2006/relationships/ctrlProp" Target="../ctrlProps/ctrlProp347.xml"/><Relationship Id="rId588" Type="http://schemas.openxmlformats.org/officeDocument/2006/relationships/ctrlProp" Target="../ctrlProps/ctrlProp585.xml"/><Relationship Id="rId9" Type="http://schemas.openxmlformats.org/officeDocument/2006/relationships/ctrlProp" Target="../ctrlProps/ctrlProp6.xml"/><Relationship Id="rId210" Type="http://schemas.openxmlformats.org/officeDocument/2006/relationships/ctrlProp" Target="../ctrlProps/ctrlProp207.xml"/><Relationship Id="rId448" Type="http://schemas.openxmlformats.org/officeDocument/2006/relationships/ctrlProp" Target="../ctrlProps/ctrlProp445.xml"/><Relationship Id="rId294" Type="http://schemas.openxmlformats.org/officeDocument/2006/relationships/ctrlProp" Target="../ctrlProps/ctrlProp291.xml"/><Relationship Id="rId308" Type="http://schemas.openxmlformats.org/officeDocument/2006/relationships/ctrlProp" Target="../ctrlProps/ctrlProp305.xml"/><Relationship Id="rId515" Type="http://schemas.openxmlformats.org/officeDocument/2006/relationships/ctrlProp" Target="../ctrlProps/ctrlProp512.xml"/><Relationship Id="rId89" Type="http://schemas.openxmlformats.org/officeDocument/2006/relationships/ctrlProp" Target="../ctrlProps/ctrlProp86.xml"/><Relationship Id="rId154" Type="http://schemas.openxmlformats.org/officeDocument/2006/relationships/ctrlProp" Target="../ctrlProps/ctrlProp151.xml"/><Relationship Id="rId361" Type="http://schemas.openxmlformats.org/officeDocument/2006/relationships/ctrlProp" Target="../ctrlProps/ctrlProp358.xml"/><Relationship Id="rId599" Type="http://schemas.openxmlformats.org/officeDocument/2006/relationships/ctrlProp" Target="../ctrlProps/ctrlProp596.xml"/><Relationship Id="rId459" Type="http://schemas.openxmlformats.org/officeDocument/2006/relationships/ctrlProp" Target="../ctrlProps/ctrlProp456.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647.xml"/><Relationship Id="rId5" Type="http://schemas.openxmlformats.org/officeDocument/2006/relationships/ctrlProp" Target="../ctrlProps/ctrlProp646.xml"/><Relationship Id="rId4" Type="http://schemas.openxmlformats.org/officeDocument/2006/relationships/ctrlProp" Target="../ctrlProps/ctrlProp645.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52.xml"/><Relationship Id="rId13" Type="http://schemas.openxmlformats.org/officeDocument/2006/relationships/ctrlProp" Target="../ctrlProps/ctrlProp657.xml"/><Relationship Id="rId18" Type="http://schemas.openxmlformats.org/officeDocument/2006/relationships/ctrlProp" Target="../ctrlProps/ctrlProp662.xml"/><Relationship Id="rId26" Type="http://schemas.openxmlformats.org/officeDocument/2006/relationships/ctrlProp" Target="../ctrlProps/ctrlProp670.xml"/><Relationship Id="rId3" Type="http://schemas.openxmlformats.org/officeDocument/2006/relationships/vmlDrawing" Target="../drawings/vmlDrawing3.vml"/><Relationship Id="rId21" Type="http://schemas.openxmlformats.org/officeDocument/2006/relationships/ctrlProp" Target="../ctrlProps/ctrlProp665.xml"/><Relationship Id="rId7" Type="http://schemas.openxmlformats.org/officeDocument/2006/relationships/ctrlProp" Target="../ctrlProps/ctrlProp651.xml"/><Relationship Id="rId12" Type="http://schemas.openxmlformats.org/officeDocument/2006/relationships/ctrlProp" Target="../ctrlProps/ctrlProp656.xml"/><Relationship Id="rId17" Type="http://schemas.openxmlformats.org/officeDocument/2006/relationships/ctrlProp" Target="../ctrlProps/ctrlProp661.xml"/><Relationship Id="rId25" Type="http://schemas.openxmlformats.org/officeDocument/2006/relationships/ctrlProp" Target="../ctrlProps/ctrlProp669.xml"/><Relationship Id="rId2" Type="http://schemas.openxmlformats.org/officeDocument/2006/relationships/drawing" Target="../drawings/drawing3.xml"/><Relationship Id="rId16" Type="http://schemas.openxmlformats.org/officeDocument/2006/relationships/ctrlProp" Target="../ctrlProps/ctrlProp660.xml"/><Relationship Id="rId20" Type="http://schemas.openxmlformats.org/officeDocument/2006/relationships/ctrlProp" Target="../ctrlProps/ctrlProp664.xml"/><Relationship Id="rId1" Type="http://schemas.openxmlformats.org/officeDocument/2006/relationships/printerSettings" Target="../printerSettings/printerSettings3.bin"/><Relationship Id="rId6" Type="http://schemas.openxmlformats.org/officeDocument/2006/relationships/ctrlProp" Target="../ctrlProps/ctrlProp650.xml"/><Relationship Id="rId11" Type="http://schemas.openxmlformats.org/officeDocument/2006/relationships/ctrlProp" Target="../ctrlProps/ctrlProp655.xml"/><Relationship Id="rId24" Type="http://schemas.openxmlformats.org/officeDocument/2006/relationships/ctrlProp" Target="../ctrlProps/ctrlProp668.xml"/><Relationship Id="rId5" Type="http://schemas.openxmlformats.org/officeDocument/2006/relationships/ctrlProp" Target="../ctrlProps/ctrlProp649.xml"/><Relationship Id="rId15" Type="http://schemas.openxmlformats.org/officeDocument/2006/relationships/ctrlProp" Target="../ctrlProps/ctrlProp659.xml"/><Relationship Id="rId23" Type="http://schemas.openxmlformats.org/officeDocument/2006/relationships/ctrlProp" Target="../ctrlProps/ctrlProp667.xml"/><Relationship Id="rId10" Type="http://schemas.openxmlformats.org/officeDocument/2006/relationships/ctrlProp" Target="../ctrlProps/ctrlProp654.xml"/><Relationship Id="rId19" Type="http://schemas.openxmlformats.org/officeDocument/2006/relationships/ctrlProp" Target="../ctrlProps/ctrlProp663.xml"/><Relationship Id="rId4" Type="http://schemas.openxmlformats.org/officeDocument/2006/relationships/ctrlProp" Target="../ctrlProps/ctrlProp648.xml"/><Relationship Id="rId9" Type="http://schemas.openxmlformats.org/officeDocument/2006/relationships/ctrlProp" Target="../ctrlProps/ctrlProp653.xml"/><Relationship Id="rId14" Type="http://schemas.openxmlformats.org/officeDocument/2006/relationships/ctrlProp" Target="../ctrlProps/ctrlProp658.xml"/><Relationship Id="rId22" Type="http://schemas.openxmlformats.org/officeDocument/2006/relationships/ctrlProp" Target="../ctrlProps/ctrlProp666.xml"/><Relationship Id="rId27" Type="http://schemas.openxmlformats.org/officeDocument/2006/relationships/ctrlProp" Target="../ctrlProps/ctrlProp67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676.xml"/><Relationship Id="rId13" Type="http://schemas.openxmlformats.org/officeDocument/2006/relationships/ctrlProp" Target="../ctrlProps/ctrlProp681.xml"/><Relationship Id="rId18" Type="http://schemas.openxmlformats.org/officeDocument/2006/relationships/ctrlProp" Target="../ctrlProps/ctrlProp686.xml"/><Relationship Id="rId3" Type="http://schemas.openxmlformats.org/officeDocument/2006/relationships/vmlDrawing" Target="../drawings/vmlDrawing4.vml"/><Relationship Id="rId21" Type="http://schemas.openxmlformats.org/officeDocument/2006/relationships/ctrlProp" Target="../ctrlProps/ctrlProp689.xml"/><Relationship Id="rId7" Type="http://schemas.openxmlformats.org/officeDocument/2006/relationships/ctrlProp" Target="../ctrlProps/ctrlProp675.xml"/><Relationship Id="rId12" Type="http://schemas.openxmlformats.org/officeDocument/2006/relationships/ctrlProp" Target="../ctrlProps/ctrlProp680.xml"/><Relationship Id="rId17" Type="http://schemas.openxmlformats.org/officeDocument/2006/relationships/ctrlProp" Target="../ctrlProps/ctrlProp685.xml"/><Relationship Id="rId2" Type="http://schemas.openxmlformats.org/officeDocument/2006/relationships/drawing" Target="../drawings/drawing4.xml"/><Relationship Id="rId16" Type="http://schemas.openxmlformats.org/officeDocument/2006/relationships/ctrlProp" Target="../ctrlProps/ctrlProp684.xml"/><Relationship Id="rId20" Type="http://schemas.openxmlformats.org/officeDocument/2006/relationships/ctrlProp" Target="../ctrlProps/ctrlProp688.xml"/><Relationship Id="rId1" Type="http://schemas.openxmlformats.org/officeDocument/2006/relationships/printerSettings" Target="../printerSettings/printerSettings4.bin"/><Relationship Id="rId6" Type="http://schemas.openxmlformats.org/officeDocument/2006/relationships/ctrlProp" Target="../ctrlProps/ctrlProp674.xml"/><Relationship Id="rId11" Type="http://schemas.openxmlformats.org/officeDocument/2006/relationships/ctrlProp" Target="../ctrlProps/ctrlProp679.xml"/><Relationship Id="rId5" Type="http://schemas.openxmlformats.org/officeDocument/2006/relationships/ctrlProp" Target="../ctrlProps/ctrlProp673.xml"/><Relationship Id="rId15" Type="http://schemas.openxmlformats.org/officeDocument/2006/relationships/ctrlProp" Target="../ctrlProps/ctrlProp683.xml"/><Relationship Id="rId23" Type="http://schemas.openxmlformats.org/officeDocument/2006/relationships/ctrlProp" Target="../ctrlProps/ctrlProp691.xml"/><Relationship Id="rId10" Type="http://schemas.openxmlformats.org/officeDocument/2006/relationships/ctrlProp" Target="../ctrlProps/ctrlProp678.xml"/><Relationship Id="rId19" Type="http://schemas.openxmlformats.org/officeDocument/2006/relationships/ctrlProp" Target="../ctrlProps/ctrlProp687.xml"/><Relationship Id="rId4" Type="http://schemas.openxmlformats.org/officeDocument/2006/relationships/ctrlProp" Target="../ctrlProps/ctrlProp672.xml"/><Relationship Id="rId9" Type="http://schemas.openxmlformats.org/officeDocument/2006/relationships/ctrlProp" Target="../ctrlProps/ctrlProp677.xml"/><Relationship Id="rId14" Type="http://schemas.openxmlformats.org/officeDocument/2006/relationships/ctrlProp" Target="../ctrlProps/ctrlProp682.xml"/><Relationship Id="rId22" Type="http://schemas.openxmlformats.org/officeDocument/2006/relationships/ctrlProp" Target="../ctrlProps/ctrlProp690.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696.xml"/><Relationship Id="rId13" Type="http://schemas.openxmlformats.org/officeDocument/2006/relationships/ctrlProp" Target="../ctrlProps/ctrlProp701.xml"/><Relationship Id="rId18" Type="http://schemas.openxmlformats.org/officeDocument/2006/relationships/ctrlProp" Target="../ctrlProps/ctrlProp706.xml"/><Relationship Id="rId26" Type="http://schemas.openxmlformats.org/officeDocument/2006/relationships/ctrlProp" Target="../ctrlProps/ctrlProp714.xml"/><Relationship Id="rId3" Type="http://schemas.openxmlformats.org/officeDocument/2006/relationships/vmlDrawing" Target="../drawings/vmlDrawing5.vml"/><Relationship Id="rId21" Type="http://schemas.openxmlformats.org/officeDocument/2006/relationships/ctrlProp" Target="../ctrlProps/ctrlProp709.xml"/><Relationship Id="rId7" Type="http://schemas.openxmlformats.org/officeDocument/2006/relationships/ctrlProp" Target="../ctrlProps/ctrlProp695.xml"/><Relationship Id="rId12" Type="http://schemas.openxmlformats.org/officeDocument/2006/relationships/ctrlProp" Target="../ctrlProps/ctrlProp700.xml"/><Relationship Id="rId17" Type="http://schemas.openxmlformats.org/officeDocument/2006/relationships/ctrlProp" Target="../ctrlProps/ctrlProp705.xml"/><Relationship Id="rId25" Type="http://schemas.openxmlformats.org/officeDocument/2006/relationships/ctrlProp" Target="../ctrlProps/ctrlProp713.xml"/><Relationship Id="rId2" Type="http://schemas.openxmlformats.org/officeDocument/2006/relationships/drawing" Target="../drawings/drawing5.xml"/><Relationship Id="rId16" Type="http://schemas.openxmlformats.org/officeDocument/2006/relationships/ctrlProp" Target="../ctrlProps/ctrlProp704.xml"/><Relationship Id="rId20" Type="http://schemas.openxmlformats.org/officeDocument/2006/relationships/ctrlProp" Target="../ctrlProps/ctrlProp708.xml"/><Relationship Id="rId1" Type="http://schemas.openxmlformats.org/officeDocument/2006/relationships/printerSettings" Target="../printerSettings/printerSettings5.bin"/><Relationship Id="rId6" Type="http://schemas.openxmlformats.org/officeDocument/2006/relationships/ctrlProp" Target="../ctrlProps/ctrlProp694.xml"/><Relationship Id="rId11" Type="http://schemas.openxmlformats.org/officeDocument/2006/relationships/ctrlProp" Target="../ctrlProps/ctrlProp699.xml"/><Relationship Id="rId24" Type="http://schemas.openxmlformats.org/officeDocument/2006/relationships/ctrlProp" Target="../ctrlProps/ctrlProp712.xml"/><Relationship Id="rId5" Type="http://schemas.openxmlformats.org/officeDocument/2006/relationships/ctrlProp" Target="../ctrlProps/ctrlProp693.xml"/><Relationship Id="rId15" Type="http://schemas.openxmlformats.org/officeDocument/2006/relationships/ctrlProp" Target="../ctrlProps/ctrlProp703.xml"/><Relationship Id="rId23" Type="http://schemas.openxmlformats.org/officeDocument/2006/relationships/ctrlProp" Target="../ctrlProps/ctrlProp711.xml"/><Relationship Id="rId10" Type="http://schemas.openxmlformats.org/officeDocument/2006/relationships/ctrlProp" Target="../ctrlProps/ctrlProp698.xml"/><Relationship Id="rId19" Type="http://schemas.openxmlformats.org/officeDocument/2006/relationships/ctrlProp" Target="../ctrlProps/ctrlProp707.xml"/><Relationship Id="rId4" Type="http://schemas.openxmlformats.org/officeDocument/2006/relationships/ctrlProp" Target="../ctrlProps/ctrlProp692.xml"/><Relationship Id="rId9" Type="http://schemas.openxmlformats.org/officeDocument/2006/relationships/ctrlProp" Target="../ctrlProps/ctrlProp697.xml"/><Relationship Id="rId14" Type="http://schemas.openxmlformats.org/officeDocument/2006/relationships/ctrlProp" Target="../ctrlProps/ctrlProp702.xml"/><Relationship Id="rId22" Type="http://schemas.openxmlformats.org/officeDocument/2006/relationships/ctrlProp" Target="../ctrlProps/ctrlProp710.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2A5B3-1279-4E02-BA3A-BE82F7DB2C18}">
  <sheetPr codeName="Sheet1">
    <tabColor theme="9" tint="-0.499984740745262"/>
  </sheetPr>
  <dimension ref="A1:AG173"/>
  <sheetViews>
    <sheetView tabSelected="1" view="pageBreakPreview" zoomScaleSheetLayoutView="100" workbookViewId="0">
      <selection activeCell="B9" sqref="B9"/>
    </sheetView>
  </sheetViews>
  <sheetFormatPr defaultColWidth="9" defaultRowHeight="18.75" x14ac:dyDescent="0.15"/>
  <cols>
    <col min="1" max="1" width="13.625" style="49" customWidth="1"/>
    <col min="2" max="5" width="13.125" style="49" customWidth="1"/>
    <col min="6" max="6" width="13.875" style="49" customWidth="1"/>
    <col min="7" max="7" width="20.75" style="49" customWidth="1"/>
    <col min="8" max="8" width="23.375" style="49" customWidth="1"/>
    <col min="9" max="10" width="22.75" style="49" customWidth="1"/>
    <col min="11" max="11" width="28.875" style="49" customWidth="1"/>
    <col min="12" max="12" width="16" style="49" customWidth="1"/>
    <col min="13" max="13" width="21.25" customWidth="1"/>
    <col min="17" max="17" width="9" hidden="1" customWidth="1"/>
    <col min="18" max="18" width="12.875" hidden="1" customWidth="1"/>
    <col min="19" max="19" width="9" hidden="1" customWidth="1"/>
    <col min="20" max="20" width="15.875" customWidth="1"/>
    <col min="21" max="23" width="10.375" customWidth="1"/>
    <col min="25" max="25" width="9.25" bestFit="1" customWidth="1"/>
    <col min="26" max="26" width="9.25" style="73" bestFit="1" customWidth="1"/>
    <col min="27" max="27" width="20.75" style="73" bestFit="1" customWidth="1"/>
    <col min="28" max="28" width="43.375" style="73" customWidth="1"/>
    <col min="29" max="29" width="9.25" style="73" bestFit="1" customWidth="1"/>
    <col min="30" max="30" width="30.625" style="73" bestFit="1" customWidth="1"/>
    <col min="31" max="31" width="15.5" customWidth="1"/>
    <col min="32" max="16384" width="9" style="49"/>
  </cols>
  <sheetData>
    <row r="1" spans="1:32" ht="28.5" x14ac:dyDescent="0.15">
      <c r="A1" s="48" t="s">
        <v>71</v>
      </c>
    </row>
    <row r="2" spans="1:32" x14ac:dyDescent="0.15">
      <c r="A2" s="49" t="s">
        <v>398</v>
      </c>
    </row>
    <row r="3" spans="1:32" x14ac:dyDescent="0.15">
      <c r="A3" s="49" t="s">
        <v>399</v>
      </c>
    </row>
    <row r="4" spans="1:32" x14ac:dyDescent="0.15">
      <c r="A4" s="49" t="s">
        <v>400</v>
      </c>
    </row>
    <row r="5" spans="1:32" x14ac:dyDescent="0.15">
      <c r="A5" s="49" t="s">
        <v>401</v>
      </c>
    </row>
    <row r="6" spans="1:32" hidden="1" x14ac:dyDescent="0.15"/>
    <row r="8" spans="1:32" x14ac:dyDescent="0.45">
      <c r="A8" s="50" t="s">
        <v>72</v>
      </c>
      <c r="B8" s="51" t="s">
        <v>402</v>
      </c>
      <c r="C8" s="51"/>
      <c r="D8" s="51"/>
      <c r="E8" s="51"/>
      <c r="F8" s="128" t="s">
        <v>73</v>
      </c>
      <c r="G8" s="128"/>
      <c r="H8" s="52" t="s">
        <v>74</v>
      </c>
      <c r="I8" s="53"/>
      <c r="J8" s="128" t="s">
        <v>75</v>
      </c>
      <c r="K8" s="128"/>
    </row>
    <row r="9" spans="1:32" x14ac:dyDescent="0.15">
      <c r="A9" s="54" t="s">
        <v>76</v>
      </c>
      <c r="B9" s="59"/>
      <c r="C9" s="56" t="s">
        <v>77</v>
      </c>
      <c r="D9" s="101"/>
      <c r="E9"/>
      <c r="F9" s="54" t="s">
        <v>79</v>
      </c>
      <c r="G9" s="60" t="s">
        <v>80</v>
      </c>
      <c r="H9" s="57"/>
      <c r="I9" s="58" t="b">
        <v>0</v>
      </c>
      <c r="J9" s="129"/>
      <c r="K9" s="130"/>
      <c r="M9" s="49"/>
      <c r="AF9"/>
    </row>
    <row r="10" spans="1:32" x14ac:dyDescent="0.15">
      <c r="A10" s="54" t="s">
        <v>82</v>
      </c>
      <c r="B10" s="101"/>
      <c r="C10" s="56" t="s">
        <v>426</v>
      </c>
      <c r="D10" s="101"/>
      <c r="E10"/>
      <c r="F10" s="54" t="s">
        <v>83</v>
      </c>
      <c r="G10" s="60" t="s">
        <v>84</v>
      </c>
      <c r="H10" s="57"/>
      <c r="I10" s="58" t="b">
        <v>0</v>
      </c>
      <c r="J10" s="129"/>
      <c r="K10" s="130"/>
      <c r="M10" s="49"/>
      <c r="AF10"/>
    </row>
    <row r="11" spans="1:32" x14ac:dyDescent="0.15">
      <c r="A11" s="54" t="s">
        <v>85</v>
      </c>
      <c r="B11" s="59" t="s">
        <v>464</v>
      </c>
      <c r="C11" s="56" t="s">
        <v>87</v>
      </c>
      <c r="D11" s="101"/>
      <c r="E11"/>
      <c r="F11" s="56" t="s">
        <v>88</v>
      </c>
      <c r="G11" s="60" t="s">
        <v>403</v>
      </c>
      <c r="H11" s="57"/>
      <c r="I11" s="58" t="b">
        <v>0</v>
      </c>
      <c r="J11" s="129"/>
      <c r="K11" s="130"/>
      <c r="M11" s="49"/>
      <c r="AF11"/>
    </row>
    <row r="12" spans="1:32" x14ac:dyDescent="0.15">
      <c r="A12" s="54" t="s">
        <v>90</v>
      </c>
      <c r="B12" s="59" t="s">
        <v>91</v>
      </c>
      <c r="C12" s="61" t="s">
        <v>427</v>
      </c>
      <c r="D12" s="62"/>
      <c r="E12" s="63"/>
      <c r="F12" s="56" t="s">
        <v>92</v>
      </c>
      <c r="G12" s="60" t="s">
        <v>89</v>
      </c>
      <c r="H12" s="57"/>
      <c r="I12" s="58" t="b">
        <v>0</v>
      </c>
      <c r="J12" s="129"/>
      <c r="K12" s="130"/>
      <c r="M12" s="49"/>
      <c r="AF12"/>
    </row>
    <row r="13" spans="1:32" x14ac:dyDescent="0.15">
      <c r="A13" s="54" t="s">
        <v>94</v>
      </c>
      <c r="B13" s="59"/>
      <c r="C13" s="54" t="s">
        <v>428</v>
      </c>
      <c r="D13" s="59"/>
      <c r="E13"/>
      <c r="F13" s="56" t="s">
        <v>95</v>
      </c>
      <c r="G13" s="60" t="s">
        <v>93</v>
      </c>
      <c r="H13" s="57"/>
      <c r="I13" s="58" t="b">
        <v>0</v>
      </c>
      <c r="J13" s="129"/>
      <c r="K13" s="130"/>
      <c r="M13" s="49"/>
      <c r="AF13"/>
    </row>
    <row r="14" spans="1:32" x14ac:dyDescent="0.15">
      <c r="A14" s="54" t="s">
        <v>96</v>
      </c>
      <c r="B14" s="101"/>
      <c r="C14" s="56"/>
      <c r="D14" s="100"/>
      <c r="E14"/>
      <c r="F14" s="56" t="s">
        <v>97</v>
      </c>
      <c r="G14" s="60" t="s">
        <v>404</v>
      </c>
      <c r="H14" s="57"/>
      <c r="I14" s="58" t="b">
        <v>0</v>
      </c>
      <c r="J14"/>
      <c r="K14"/>
      <c r="M14" s="49"/>
      <c r="AF14"/>
    </row>
    <row r="15" spans="1:32" x14ac:dyDescent="0.15">
      <c r="A15" s="56" t="s">
        <v>99</v>
      </c>
      <c r="B15" s="101"/>
      <c r="C15" s="56"/>
      <c r="D15" s="101"/>
      <c r="E15"/>
      <c r="F15" s="56" t="s">
        <v>100</v>
      </c>
      <c r="G15" s="60" t="s">
        <v>98</v>
      </c>
      <c r="H15" s="57"/>
      <c r="I15" s="58" t="b">
        <v>0</v>
      </c>
      <c r="J15"/>
      <c r="K15"/>
      <c r="M15" s="49"/>
      <c r="AF15"/>
    </row>
    <row r="16" spans="1:32" x14ac:dyDescent="0.15">
      <c r="A16" s="61" t="s">
        <v>102</v>
      </c>
      <c r="B16" s="101"/>
      <c r="C16" s="56"/>
      <c r="D16" s="101"/>
      <c r="E16"/>
      <c r="F16" s="56" t="s">
        <v>104</v>
      </c>
      <c r="G16" s="60" t="s">
        <v>101</v>
      </c>
      <c r="H16" s="57"/>
      <c r="I16" s="58" t="b">
        <v>0</v>
      </c>
      <c r="J16"/>
      <c r="K16"/>
      <c r="M16" s="49"/>
      <c r="AF16"/>
    </row>
    <row r="17" spans="1:32" x14ac:dyDescent="0.15">
      <c r="A17" s="56" t="s">
        <v>105</v>
      </c>
      <c r="B17" s="101"/>
      <c r="C17" s="56"/>
      <c r="D17" s="101"/>
      <c r="E17"/>
      <c r="F17" s="56" t="s">
        <v>106</v>
      </c>
      <c r="G17" s="60" t="s">
        <v>280</v>
      </c>
      <c r="H17" s="57"/>
      <c r="I17" s="58" t="b">
        <v>0</v>
      </c>
      <c r="J17"/>
      <c r="K17"/>
      <c r="M17" s="49"/>
      <c r="AF17"/>
    </row>
    <row r="18" spans="1:32" x14ac:dyDescent="0.15">
      <c r="A18" s="56" t="s">
        <v>107</v>
      </c>
      <c r="B18" s="101"/>
      <c r="C18" s="56"/>
      <c r="D18" s="101"/>
      <c r="E18"/>
      <c r="F18" s="56" t="s">
        <v>108</v>
      </c>
      <c r="G18" s="60"/>
      <c r="H18" s="60"/>
      <c r="I18" s="58" t="b">
        <v>0</v>
      </c>
      <c r="J18"/>
      <c r="K18"/>
      <c r="M18" s="49"/>
      <c r="AF18"/>
    </row>
    <row r="19" spans="1:32" x14ac:dyDescent="0.15">
      <c r="A19" s="56" t="s">
        <v>109</v>
      </c>
      <c r="B19" s="101"/>
      <c r="C19" s="56"/>
      <c r="D19" s="101"/>
      <c r="E19"/>
      <c r="F19" s="56" t="s">
        <v>110</v>
      </c>
      <c r="G19" s="60"/>
      <c r="H19" s="57"/>
      <c r="I19" s="58" t="b">
        <v>0</v>
      </c>
      <c r="J19"/>
      <c r="K19"/>
      <c r="M19" s="49"/>
      <c r="AF19"/>
    </row>
    <row r="20" spans="1:32" x14ac:dyDescent="0.15">
      <c r="E20"/>
    </row>
    <row r="21" spans="1:32" x14ac:dyDescent="0.15">
      <c r="A21" s="64" t="s">
        <v>463</v>
      </c>
    </row>
    <row r="22" spans="1:32" s="77" customFormat="1" ht="37.5" x14ac:dyDescent="0.15">
      <c r="A22" s="65" t="s">
        <v>111</v>
      </c>
      <c r="B22" s="87" t="s">
        <v>112</v>
      </c>
      <c r="C22" s="66" t="s">
        <v>113</v>
      </c>
      <c r="D22" s="66" t="s">
        <v>114</v>
      </c>
      <c r="E22" s="66" t="s">
        <v>115</v>
      </c>
      <c r="F22" s="66" t="s">
        <v>116</v>
      </c>
      <c r="G22" s="66" t="s">
        <v>117</v>
      </c>
      <c r="H22" s="66" t="s">
        <v>118</v>
      </c>
      <c r="I22" s="66" t="s">
        <v>119</v>
      </c>
      <c r="J22" s="66" t="s">
        <v>120</v>
      </c>
      <c r="K22" s="66" t="s">
        <v>121</v>
      </c>
      <c r="L22" s="66" t="s">
        <v>122</v>
      </c>
      <c r="M22" s="74"/>
      <c r="N22" s="74"/>
      <c r="O22" s="74"/>
      <c r="P22" s="74"/>
      <c r="Q22" s="75" t="b">
        <f>IF(R22="",FALSE,TRUE)</f>
        <v>0</v>
      </c>
      <c r="R22" s="131" t="str">
        <f>J9&amp;""</f>
        <v/>
      </c>
      <c r="S22" s="131"/>
      <c r="T22" s="74"/>
      <c r="U22" s="74"/>
      <c r="V22" s="74"/>
      <c r="W22" s="74"/>
      <c r="X22" s="74"/>
      <c r="Y22" s="74"/>
      <c r="Z22" s="76"/>
      <c r="AA22" s="76"/>
      <c r="AB22" s="76"/>
      <c r="AC22" s="76"/>
      <c r="AD22" s="76"/>
      <c r="AE22" s="74"/>
    </row>
    <row r="23" spans="1:32" x14ac:dyDescent="0.15">
      <c r="A23" s="67" t="s">
        <v>461</v>
      </c>
      <c r="B23" s="88" t="s">
        <v>429</v>
      </c>
      <c r="C23" s="59"/>
      <c r="D23" s="59"/>
      <c r="E23" s="68"/>
      <c r="F23" s="71"/>
      <c r="G23" s="59"/>
      <c r="H23" s="60"/>
      <c r="I23" s="60"/>
      <c r="J23" s="60"/>
      <c r="K23" s="60"/>
      <c r="L23" s="69"/>
      <c r="Q23" s="78" t="b">
        <f>IF(R23="",FALSE,TRUE)</f>
        <v>0</v>
      </c>
      <c r="R23" s="127" t="str">
        <f>J10&amp;""</f>
        <v/>
      </c>
      <c r="S23" s="127"/>
    </row>
    <row r="24" spans="1:32" x14ac:dyDescent="0.15">
      <c r="A24" s="72" t="s">
        <v>462</v>
      </c>
      <c r="B24" s="70"/>
      <c r="C24" s="59"/>
      <c r="D24" s="59"/>
      <c r="E24" s="68"/>
      <c r="F24" s="71"/>
      <c r="G24" s="59"/>
      <c r="H24" s="60"/>
      <c r="I24" s="60"/>
      <c r="J24" s="60"/>
      <c r="K24" s="60"/>
      <c r="L24" s="69"/>
      <c r="Q24" s="78" t="b">
        <f>IF(R24="",FALSE,TRUE)</f>
        <v>0</v>
      </c>
      <c r="R24" s="127" t="str">
        <f>J11&amp;""</f>
        <v/>
      </c>
      <c r="S24" s="127"/>
    </row>
    <row r="25" spans="1:32" x14ac:dyDescent="0.15">
      <c r="A25" s="89" t="s">
        <v>103</v>
      </c>
      <c r="B25" s="70"/>
      <c r="C25" s="59"/>
      <c r="D25" s="59"/>
      <c r="E25" s="68"/>
      <c r="F25" s="71"/>
      <c r="G25" s="59"/>
      <c r="H25" s="60"/>
      <c r="I25" s="60"/>
      <c r="J25" s="60"/>
      <c r="K25" s="60"/>
      <c r="L25" s="69"/>
      <c r="Q25" s="78" t="b">
        <f>IF(R25="",FALSE,TRUE)</f>
        <v>0</v>
      </c>
      <c r="R25" s="127" t="str">
        <f>J12&amp;""</f>
        <v/>
      </c>
      <c r="S25" s="127"/>
    </row>
    <row r="26" spans="1:32" x14ac:dyDescent="0.15">
      <c r="A26" s="89" t="s">
        <v>125</v>
      </c>
      <c r="B26" s="70"/>
      <c r="C26" s="59"/>
      <c r="D26" s="59"/>
      <c r="E26" s="68"/>
      <c r="F26" s="71"/>
      <c r="G26" s="59"/>
      <c r="H26" s="60"/>
      <c r="I26" s="60"/>
      <c r="J26" s="60"/>
      <c r="K26" s="60"/>
      <c r="L26" s="69"/>
      <c r="Q26" s="78" t="b">
        <f>IF(R26="",FALSE,TRUE)</f>
        <v>0</v>
      </c>
      <c r="R26" s="127" t="str">
        <f>J13&amp;""</f>
        <v/>
      </c>
      <c r="S26" s="127"/>
    </row>
    <row r="27" spans="1:32" ht="19.5" customHeight="1" x14ac:dyDescent="0.15">
      <c r="A27" s="89" t="s">
        <v>127</v>
      </c>
      <c r="B27" s="70"/>
      <c r="C27" s="59"/>
      <c r="D27" s="59"/>
      <c r="E27" s="68"/>
      <c r="F27" s="71"/>
      <c r="G27" s="59"/>
      <c r="H27" s="60"/>
      <c r="I27" s="60"/>
      <c r="J27" s="60"/>
      <c r="K27" s="60"/>
      <c r="L27" s="69"/>
    </row>
    <row r="28" spans="1:32" ht="19.5" customHeight="1" x14ac:dyDescent="0.15">
      <c r="A28" s="89" t="s">
        <v>129</v>
      </c>
      <c r="B28" s="70"/>
      <c r="C28" s="59"/>
      <c r="D28" s="59"/>
      <c r="E28" s="68"/>
      <c r="F28" s="71"/>
      <c r="G28" s="59"/>
      <c r="H28" s="60"/>
      <c r="I28" s="60"/>
      <c r="J28" s="60"/>
      <c r="K28" s="60"/>
      <c r="L28" s="69"/>
    </row>
    <row r="29" spans="1:32" ht="19.5" customHeight="1" x14ac:dyDescent="0.15">
      <c r="A29" s="89" t="s">
        <v>131</v>
      </c>
      <c r="B29" s="70"/>
      <c r="C29" s="59"/>
      <c r="D29" s="59"/>
      <c r="E29" s="68"/>
      <c r="F29" s="71"/>
      <c r="G29" s="59"/>
      <c r="H29" s="60"/>
      <c r="I29" s="60"/>
      <c r="J29" s="60"/>
      <c r="K29" s="60"/>
      <c r="L29" s="69"/>
    </row>
    <row r="30" spans="1:32" x14ac:dyDescent="0.15">
      <c r="A30" s="89" t="s">
        <v>133</v>
      </c>
      <c r="B30" s="70"/>
      <c r="C30" s="59"/>
      <c r="D30" s="59"/>
      <c r="E30" s="68"/>
      <c r="F30" s="71"/>
      <c r="G30" s="59"/>
      <c r="H30" s="60"/>
      <c r="I30" s="60"/>
      <c r="J30" s="60"/>
      <c r="K30" s="60"/>
      <c r="L30" s="69"/>
    </row>
    <row r="31" spans="1:32" x14ac:dyDescent="0.15">
      <c r="A31" s="89" t="s">
        <v>135</v>
      </c>
      <c r="B31" s="70"/>
      <c r="C31" s="59"/>
      <c r="D31" s="59"/>
      <c r="E31" s="68"/>
      <c r="F31" s="71"/>
      <c r="G31" s="59"/>
      <c r="H31" s="60"/>
      <c r="I31" s="60"/>
      <c r="J31" s="60"/>
      <c r="K31" s="60"/>
      <c r="L31" s="69"/>
    </row>
    <row r="32" spans="1:32" x14ac:dyDescent="0.15">
      <c r="A32" s="89" t="s">
        <v>137</v>
      </c>
      <c r="B32" s="70"/>
      <c r="C32" s="59"/>
      <c r="D32" s="59"/>
      <c r="E32" s="68"/>
      <c r="F32" s="71"/>
      <c r="G32" s="59"/>
      <c r="H32" s="60"/>
      <c r="I32" s="60"/>
      <c r="J32" s="60"/>
      <c r="K32" s="60"/>
      <c r="L32" s="69"/>
    </row>
    <row r="33" spans="1:12" x14ac:dyDescent="0.15">
      <c r="A33" s="89" t="s">
        <v>139</v>
      </c>
      <c r="B33" s="70"/>
      <c r="C33" s="59"/>
      <c r="D33" s="59"/>
      <c r="E33" s="68"/>
      <c r="F33" s="71"/>
      <c r="G33" s="59"/>
      <c r="H33" s="60"/>
      <c r="I33" s="60"/>
      <c r="J33" s="60"/>
      <c r="K33" s="60"/>
      <c r="L33" s="69"/>
    </row>
    <row r="34" spans="1:12" x14ac:dyDescent="0.15">
      <c r="A34" s="72" t="s">
        <v>141</v>
      </c>
      <c r="B34" s="70"/>
      <c r="C34" s="59"/>
      <c r="D34" s="59"/>
      <c r="E34" s="68"/>
      <c r="F34" s="71"/>
      <c r="G34" s="59"/>
      <c r="H34" s="60"/>
      <c r="I34" s="60"/>
      <c r="J34" s="60"/>
      <c r="K34" s="60"/>
      <c r="L34" s="69"/>
    </row>
    <row r="35" spans="1:12" x14ac:dyDescent="0.15">
      <c r="A35" s="72" t="s">
        <v>143</v>
      </c>
      <c r="B35" s="70"/>
      <c r="C35" s="59"/>
      <c r="D35" s="59"/>
      <c r="E35" s="68"/>
      <c r="F35" s="71"/>
      <c r="G35" s="59"/>
      <c r="H35" s="60"/>
      <c r="I35" s="60"/>
      <c r="J35" s="60"/>
      <c r="K35" s="60"/>
      <c r="L35" s="69"/>
    </row>
    <row r="36" spans="1:12" x14ac:dyDescent="0.15">
      <c r="B36" s="79"/>
      <c r="C36" s="79"/>
      <c r="D36" s="79"/>
      <c r="E36" s="79"/>
      <c r="F36" s="79"/>
      <c r="G36" s="79"/>
      <c r="H36" s="79"/>
      <c r="I36" s="79"/>
      <c r="J36" s="79"/>
      <c r="K36" s="79"/>
    </row>
    <row r="37" spans="1:12" x14ac:dyDescent="0.15">
      <c r="A37" s="82" t="s">
        <v>311</v>
      </c>
      <c r="B37" s="79"/>
      <c r="C37" s="79"/>
      <c r="D37" s="79"/>
      <c r="E37" s="79"/>
      <c r="F37" s="79"/>
      <c r="G37" s="79"/>
      <c r="H37" s="79"/>
      <c r="I37" s="79"/>
      <c r="J37" s="79"/>
      <c r="K37" s="79"/>
    </row>
    <row r="38" spans="1:12" x14ac:dyDescent="0.15">
      <c r="A38" s="90" t="s">
        <v>285</v>
      </c>
      <c r="B38" s="91"/>
      <c r="C38" s="79"/>
      <c r="D38" s="84" t="s">
        <v>286</v>
      </c>
      <c r="E38" s="79"/>
      <c r="F38" s="79"/>
      <c r="G38" s="79"/>
      <c r="H38" s="79"/>
      <c r="I38" s="79"/>
      <c r="J38" s="79"/>
      <c r="K38" s="79"/>
    </row>
    <row r="39" spans="1:12" x14ac:dyDescent="0.15">
      <c r="A39" s="83" t="s">
        <v>283</v>
      </c>
      <c r="B39" s="85"/>
      <c r="C39" s="79"/>
      <c r="D39" s="86" t="s">
        <v>287</v>
      </c>
      <c r="E39" s="86"/>
      <c r="F39" s="79"/>
      <c r="G39" s="79"/>
      <c r="H39" s="79"/>
      <c r="I39" s="79"/>
      <c r="J39" s="79"/>
      <c r="K39" s="79"/>
    </row>
    <row r="40" spans="1:12" x14ac:dyDescent="0.15">
      <c r="A40" s="81" t="s">
        <v>284</v>
      </c>
      <c r="B40" s="85"/>
      <c r="C40" s="79"/>
      <c r="D40" s="79"/>
      <c r="E40" s="79"/>
      <c r="F40" s="79"/>
      <c r="G40" s="79"/>
      <c r="H40" s="79"/>
      <c r="I40" s="79"/>
      <c r="J40" s="79"/>
      <c r="K40" s="79"/>
    </row>
    <row r="41" spans="1:12" x14ac:dyDescent="0.15">
      <c r="A41" s="81" t="s">
        <v>284</v>
      </c>
      <c r="B41" s="85"/>
      <c r="C41" s="79"/>
      <c r="D41" s="84" t="s">
        <v>288</v>
      </c>
      <c r="E41" s="79"/>
      <c r="F41" s="79"/>
      <c r="G41" s="79"/>
      <c r="H41" s="79"/>
      <c r="I41" s="79"/>
      <c r="J41" s="79"/>
      <c r="K41" s="79"/>
    </row>
    <row r="42" spans="1:12" x14ac:dyDescent="0.15">
      <c r="A42" s="81" t="s">
        <v>284</v>
      </c>
      <c r="B42" s="85"/>
      <c r="C42" s="79"/>
      <c r="D42" s="84" t="s">
        <v>90</v>
      </c>
      <c r="E42" s="84" t="s">
        <v>289</v>
      </c>
      <c r="F42" s="79"/>
      <c r="G42" s="79"/>
      <c r="H42" s="79"/>
      <c r="I42" s="79"/>
      <c r="J42" s="79"/>
      <c r="K42" s="79"/>
    </row>
    <row r="43" spans="1:12" x14ac:dyDescent="0.15">
      <c r="A43" s="81" t="s">
        <v>284</v>
      </c>
      <c r="B43" s="85"/>
      <c r="D43" s="59" t="s">
        <v>91</v>
      </c>
      <c r="E43" s="55" t="s">
        <v>292</v>
      </c>
      <c r="F43" s="79"/>
      <c r="G43" s="79"/>
      <c r="H43" s="79"/>
      <c r="I43" s="79"/>
      <c r="J43" s="79"/>
      <c r="K43" s="79"/>
    </row>
    <row r="46" spans="1:12" x14ac:dyDescent="0.15">
      <c r="A46" s="64" t="s">
        <v>312</v>
      </c>
      <c r="B46" s="79"/>
      <c r="C46" s="79"/>
      <c r="D46" s="79"/>
      <c r="E46" s="79"/>
      <c r="F46" s="79"/>
      <c r="G46" s="64" t="s">
        <v>405</v>
      </c>
      <c r="H46" s="79"/>
      <c r="I46" s="79"/>
      <c r="J46" s="79"/>
      <c r="K46" s="79"/>
    </row>
    <row r="47" spans="1:12" x14ac:dyDescent="0.15">
      <c r="A47" s="49" t="s">
        <v>313</v>
      </c>
      <c r="B47" s="79"/>
      <c r="C47" s="79"/>
      <c r="D47" s="79"/>
      <c r="E47" s="79"/>
      <c r="F47" s="79"/>
      <c r="G47" s="49" t="s">
        <v>406</v>
      </c>
      <c r="H47" s="79"/>
      <c r="I47" s="79"/>
      <c r="J47" s="79"/>
      <c r="K47" s="79"/>
    </row>
    <row r="48" spans="1:12" x14ac:dyDescent="0.15">
      <c r="A48" s="93" t="s">
        <v>314</v>
      </c>
      <c r="B48" s="83" t="s">
        <v>315</v>
      </c>
      <c r="C48" s="83" t="s">
        <v>316</v>
      </c>
      <c r="D48" s="83" t="s">
        <v>317</v>
      </c>
      <c r="E48" s="94" t="s">
        <v>318</v>
      </c>
      <c r="F48" s="79"/>
      <c r="G48" s="102" t="s">
        <v>407</v>
      </c>
      <c r="I48" s="79"/>
      <c r="J48" s="79"/>
      <c r="K48" s="79"/>
    </row>
    <row r="49" spans="1:11" x14ac:dyDescent="0.15">
      <c r="A49" s="70" t="s">
        <v>319</v>
      </c>
      <c r="B49" s="95"/>
      <c r="C49" s="96"/>
      <c r="D49" s="96"/>
      <c r="E49" s="97"/>
      <c r="F49" s="103" t="s">
        <v>319</v>
      </c>
      <c r="G49" s="104"/>
      <c r="I49" s="79"/>
      <c r="J49" s="79"/>
      <c r="K49" s="79"/>
    </row>
    <row r="50" spans="1:11" x14ac:dyDescent="0.15">
      <c r="A50" s="70" t="s">
        <v>321</v>
      </c>
      <c r="B50" s="95"/>
      <c r="C50" s="96"/>
      <c r="D50" s="96"/>
      <c r="E50" s="97"/>
      <c r="F50" s="103" t="s">
        <v>321</v>
      </c>
      <c r="G50" s="95"/>
      <c r="I50" s="79"/>
      <c r="J50" s="79"/>
      <c r="K50" s="79"/>
    </row>
    <row r="51" spans="1:11" x14ac:dyDescent="0.15">
      <c r="A51" s="70" t="s">
        <v>323</v>
      </c>
      <c r="B51" s="95"/>
      <c r="C51" s="96"/>
      <c r="D51" s="96"/>
      <c r="E51" s="97"/>
      <c r="F51" s="103" t="s">
        <v>323</v>
      </c>
      <c r="G51" s="104"/>
      <c r="I51" s="79"/>
      <c r="J51" s="79"/>
      <c r="K51" s="79"/>
    </row>
    <row r="52" spans="1:11" x14ac:dyDescent="0.15">
      <c r="A52" s="70" t="s">
        <v>325</v>
      </c>
      <c r="B52" s="95"/>
      <c r="C52" s="96"/>
      <c r="D52" s="96"/>
      <c r="E52" s="97"/>
      <c r="F52" s="103" t="s">
        <v>325</v>
      </c>
      <c r="G52" s="95"/>
      <c r="I52" s="79"/>
      <c r="J52" s="79"/>
      <c r="K52" s="79"/>
    </row>
    <row r="53" spans="1:11" x14ac:dyDescent="0.15">
      <c r="A53" s="70" t="s">
        <v>327</v>
      </c>
      <c r="B53" s="95"/>
      <c r="C53" s="96"/>
      <c r="D53" s="96"/>
      <c r="E53" s="97"/>
      <c r="F53" s="103" t="s">
        <v>327</v>
      </c>
      <c r="G53" s="104"/>
      <c r="I53" s="79"/>
      <c r="J53" s="79"/>
      <c r="K53" s="79"/>
    </row>
    <row r="54" spans="1:11" x14ac:dyDescent="0.15">
      <c r="A54" s="70" t="s">
        <v>329</v>
      </c>
      <c r="B54" s="95"/>
      <c r="C54" s="96"/>
      <c r="D54" s="96"/>
      <c r="E54" s="97"/>
      <c r="F54" s="103" t="s">
        <v>329</v>
      </c>
      <c r="G54" s="95"/>
      <c r="I54" s="79"/>
      <c r="J54" s="79"/>
      <c r="K54" s="79"/>
    </row>
    <row r="55" spans="1:11" x14ac:dyDescent="0.15">
      <c r="A55" s="70" t="s">
        <v>331</v>
      </c>
      <c r="B55" s="95"/>
      <c r="C55" s="96"/>
      <c r="D55" s="96"/>
      <c r="E55" s="97"/>
      <c r="F55" s="103" t="s">
        <v>331</v>
      </c>
      <c r="G55" s="104"/>
      <c r="I55" s="79"/>
      <c r="J55" s="79"/>
      <c r="K55" s="79"/>
    </row>
    <row r="56" spans="1:11" x14ac:dyDescent="0.15">
      <c r="A56" s="70" t="s">
        <v>333</v>
      </c>
      <c r="B56" s="95"/>
      <c r="C56" s="96"/>
      <c r="D56" s="96"/>
      <c r="E56" s="97"/>
      <c r="F56" s="103" t="s">
        <v>333</v>
      </c>
      <c r="G56" s="95"/>
      <c r="I56" s="79"/>
      <c r="J56" s="79"/>
      <c r="K56" s="79"/>
    </row>
    <row r="57" spans="1:11" x14ac:dyDescent="0.15">
      <c r="A57" s="70" t="s">
        <v>335</v>
      </c>
      <c r="B57" s="95"/>
      <c r="C57" s="96"/>
      <c r="D57" s="96"/>
      <c r="E57" s="97"/>
      <c r="F57" s="103" t="s">
        <v>335</v>
      </c>
      <c r="G57" s="104"/>
      <c r="I57" s="79"/>
      <c r="J57" s="79"/>
      <c r="K57" s="79"/>
    </row>
    <row r="58" spans="1:11" x14ac:dyDescent="0.15">
      <c r="A58" s="98" t="s">
        <v>337</v>
      </c>
      <c r="B58" s="95"/>
      <c r="C58" s="99"/>
      <c r="D58" s="99"/>
      <c r="E58" s="97"/>
      <c r="F58" s="79"/>
      <c r="G58" s="79"/>
      <c r="H58" s="79"/>
      <c r="I58" s="79"/>
      <c r="J58" s="79"/>
      <c r="K58" s="79"/>
    </row>
    <row r="59" spans="1:11" x14ac:dyDescent="0.15">
      <c r="A59" s="70" t="s">
        <v>339</v>
      </c>
      <c r="B59" s="95"/>
      <c r="C59" s="96"/>
      <c r="D59" s="96"/>
      <c r="E59" s="97"/>
      <c r="F59" s="79"/>
      <c r="G59" s="79"/>
      <c r="H59" s="79"/>
      <c r="I59" s="79"/>
      <c r="J59" s="79"/>
      <c r="K59" s="79"/>
    </row>
    <row r="60" spans="1:11" x14ac:dyDescent="0.15">
      <c r="A60" s="70" t="s">
        <v>341</v>
      </c>
      <c r="B60" s="95"/>
      <c r="C60" s="96"/>
      <c r="D60" s="96"/>
      <c r="E60" s="97"/>
      <c r="F60" s="79"/>
      <c r="G60" s="79"/>
      <c r="H60" s="79"/>
      <c r="I60" s="79"/>
      <c r="J60" s="79"/>
      <c r="K60" s="79"/>
    </row>
    <row r="61" spans="1:11" x14ac:dyDescent="0.15">
      <c r="A61" s="98" t="s">
        <v>343</v>
      </c>
      <c r="B61" s="95"/>
      <c r="C61" s="99"/>
      <c r="D61" s="99"/>
      <c r="E61" s="97"/>
      <c r="F61" s="79"/>
      <c r="G61" s="79"/>
      <c r="H61" s="79"/>
      <c r="I61" s="79"/>
      <c r="J61" s="79"/>
      <c r="K61" s="79"/>
    </row>
    <row r="62" spans="1:11" x14ac:dyDescent="0.15">
      <c r="A62" s="70" t="s">
        <v>345</v>
      </c>
      <c r="B62" s="95"/>
      <c r="C62" s="96"/>
      <c r="D62" s="96"/>
      <c r="E62" s="97"/>
      <c r="F62" s="79"/>
      <c r="G62" s="79"/>
      <c r="H62" s="79"/>
      <c r="I62" s="79"/>
      <c r="J62" s="79"/>
      <c r="K62" s="79"/>
    </row>
    <row r="63" spans="1:11" x14ac:dyDescent="0.15">
      <c r="A63" s="70" t="s">
        <v>347</v>
      </c>
      <c r="B63" s="95"/>
      <c r="C63" s="96"/>
      <c r="D63" s="96"/>
      <c r="E63" s="97"/>
      <c r="F63" s="79"/>
      <c r="G63" s="79"/>
      <c r="H63" s="79"/>
      <c r="I63" s="79"/>
      <c r="J63" s="79"/>
      <c r="K63" s="79"/>
    </row>
    <row r="64" spans="1:11" x14ac:dyDescent="0.15">
      <c r="A64" s="70" t="s">
        <v>349</v>
      </c>
      <c r="B64" s="95"/>
      <c r="C64" s="96"/>
      <c r="D64" s="96"/>
      <c r="E64" s="97"/>
      <c r="F64" s="79"/>
      <c r="G64" s="79"/>
      <c r="H64" s="79"/>
      <c r="I64" s="79"/>
      <c r="J64" s="79"/>
      <c r="K64" s="79"/>
    </row>
    <row r="65" spans="1:33" x14ac:dyDescent="0.15">
      <c r="A65" s="70" t="s">
        <v>351</v>
      </c>
      <c r="B65" s="95"/>
      <c r="C65" s="96"/>
      <c r="D65" s="96"/>
      <c r="E65" s="97"/>
      <c r="F65" s="79"/>
      <c r="G65" s="79"/>
      <c r="H65" s="79"/>
      <c r="I65" s="79"/>
      <c r="J65" s="79"/>
      <c r="K65" s="79"/>
    </row>
    <row r="66" spans="1:33" x14ac:dyDescent="0.15">
      <c r="A66" s="70" t="s">
        <v>353</v>
      </c>
      <c r="B66" s="95"/>
      <c r="C66" s="96"/>
      <c r="D66" s="96"/>
      <c r="E66" s="97"/>
      <c r="F66" s="79"/>
      <c r="G66" s="79"/>
      <c r="H66" s="79"/>
      <c r="I66" s="79"/>
      <c r="J66" s="79"/>
      <c r="K66" s="79"/>
    </row>
    <row r="67" spans="1:33" x14ac:dyDescent="0.15">
      <c r="A67" s="70" t="s">
        <v>355</v>
      </c>
      <c r="B67" s="95"/>
      <c r="C67" s="96"/>
      <c r="D67" s="96"/>
      <c r="E67" s="97"/>
      <c r="F67" s="79"/>
      <c r="G67" s="79"/>
      <c r="H67" s="79"/>
      <c r="I67" s="79"/>
      <c r="J67" s="79"/>
      <c r="K67" s="79"/>
    </row>
    <row r="68" spans="1:33" x14ac:dyDescent="0.15">
      <c r="B68" s="79"/>
      <c r="C68" s="79"/>
      <c r="D68" s="79"/>
      <c r="E68" s="79"/>
      <c r="F68" s="79"/>
      <c r="G68" s="79"/>
      <c r="H68" s="79"/>
      <c r="I68" s="79"/>
      <c r="J68" s="79"/>
      <c r="K68" s="79"/>
    </row>
    <row r="70" spans="1:33" ht="24" hidden="1" customHeight="1" x14ac:dyDescent="0.15"/>
    <row r="71" spans="1:33" s="106" customFormat="1" ht="19.5" hidden="1" customHeight="1" x14ac:dyDescent="0.15">
      <c r="A71" s="35" t="s">
        <v>85</v>
      </c>
      <c r="B71" s="35" t="s">
        <v>145</v>
      </c>
      <c r="C71" s="35" t="s">
        <v>146</v>
      </c>
      <c r="D71" s="35" t="s">
        <v>147</v>
      </c>
      <c r="E71" s="35" t="s">
        <v>148</v>
      </c>
      <c r="F71" s="35" t="s">
        <v>87</v>
      </c>
      <c r="G71" s="35" t="s">
        <v>149</v>
      </c>
      <c r="H71" s="35" t="s">
        <v>150</v>
      </c>
      <c r="I71" s="35" t="s">
        <v>151</v>
      </c>
      <c r="J71" s="35" t="s">
        <v>152</v>
      </c>
      <c r="K71" s="35" t="s">
        <v>153</v>
      </c>
      <c r="L71" s="35" t="s">
        <v>112</v>
      </c>
      <c r="M71" s="35" t="s">
        <v>77</v>
      </c>
      <c r="N71" s="36" t="s">
        <v>90</v>
      </c>
      <c r="O71" s="36" t="s">
        <v>154</v>
      </c>
      <c r="P71" s="36" t="s">
        <v>155</v>
      </c>
      <c r="Q71" s="36" t="s">
        <v>156</v>
      </c>
      <c r="R71" s="36" t="s">
        <v>157</v>
      </c>
      <c r="S71" s="36" t="s">
        <v>158</v>
      </c>
      <c r="T71" s="36" t="s">
        <v>90</v>
      </c>
      <c r="U71" s="36"/>
      <c r="V71" s="36" t="s">
        <v>154</v>
      </c>
      <c r="W71" s="36" t="s">
        <v>155</v>
      </c>
      <c r="X71" s="36" t="s">
        <v>156</v>
      </c>
      <c r="Y71" s="36" t="s">
        <v>157</v>
      </c>
      <c r="Z71" s="36" t="s">
        <v>158</v>
      </c>
      <c r="AA71" s="37" t="s">
        <v>159</v>
      </c>
      <c r="AB71" s="37" t="s">
        <v>160</v>
      </c>
      <c r="AC71" s="37"/>
      <c r="AD71" s="37"/>
      <c r="AE71" s="105" t="s">
        <v>409</v>
      </c>
      <c r="AF71" s="105" t="s">
        <v>483</v>
      </c>
      <c r="AG71" s="105" t="s">
        <v>484</v>
      </c>
    </row>
    <row r="72" spans="1:33" hidden="1" x14ac:dyDescent="0.15">
      <c r="A72" s="38" t="s">
        <v>86</v>
      </c>
      <c r="B72" s="107">
        <v>272800</v>
      </c>
      <c r="C72" s="107">
        <v>176000</v>
      </c>
      <c r="D72" s="107">
        <v>136400</v>
      </c>
      <c r="E72" s="107">
        <v>39600</v>
      </c>
      <c r="F72" s="107" t="s">
        <v>161</v>
      </c>
      <c r="G72" s="38" t="s">
        <v>179</v>
      </c>
      <c r="H72" s="39" t="s">
        <v>180</v>
      </c>
      <c r="I72" s="38" t="s">
        <v>485</v>
      </c>
      <c r="J72" s="38" t="s">
        <v>162</v>
      </c>
      <c r="K72" s="38" t="s">
        <v>182</v>
      </c>
      <c r="L72" s="38" t="s">
        <v>163</v>
      </c>
      <c r="M72" s="40" t="s">
        <v>164</v>
      </c>
      <c r="N72" s="38" t="s">
        <v>91</v>
      </c>
      <c r="O72" s="40" t="s">
        <v>165</v>
      </c>
      <c r="P72" s="40" t="s">
        <v>166</v>
      </c>
      <c r="Q72" s="40" t="s">
        <v>167</v>
      </c>
      <c r="R72" s="40" t="s">
        <v>168</v>
      </c>
      <c r="S72" s="40" t="s">
        <v>169</v>
      </c>
      <c r="T72" s="38" t="s">
        <v>170</v>
      </c>
      <c r="U72" s="38" t="s">
        <v>171</v>
      </c>
      <c r="V72" s="40" t="s">
        <v>172</v>
      </c>
      <c r="W72" s="40" t="s">
        <v>173</v>
      </c>
      <c r="X72" s="40" t="s">
        <v>174</v>
      </c>
      <c r="Y72" s="40" t="s">
        <v>175</v>
      </c>
      <c r="Z72" s="41" t="s">
        <v>176</v>
      </c>
      <c r="AA72" s="42" t="s">
        <v>80</v>
      </c>
      <c r="AB72" s="43" t="s">
        <v>305</v>
      </c>
      <c r="AC72" s="42" t="s">
        <v>81</v>
      </c>
      <c r="AD72" s="42" t="str">
        <f>$C$24&amp;"　様の約1ヵ月以内に発行した印鑑証明書を右記通数ご返送願います。※マイナンバーカードがあれば、コンビニ取得可能です"</f>
        <v>　様の約1ヵ月以内に発行した印鑑証明書を右記通数ご返送願います。※マイナンバーカードがあれば、コンビニ取得可能です</v>
      </c>
      <c r="AE72" s="108" t="s">
        <v>320</v>
      </c>
      <c r="AF72" s="108" t="s">
        <v>486</v>
      </c>
      <c r="AG72" s="108">
        <v>96800</v>
      </c>
    </row>
    <row r="73" spans="1:33" ht="24.75" hidden="1" x14ac:dyDescent="0.15">
      <c r="A73" s="38" t="s">
        <v>177</v>
      </c>
      <c r="B73" s="107">
        <v>437800</v>
      </c>
      <c r="C73" s="107">
        <v>341000</v>
      </c>
      <c r="D73" s="107">
        <v>218900</v>
      </c>
      <c r="E73" s="107">
        <v>122100</v>
      </c>
      <c r="F73" s="107" t="s">
        <v>178</v>
      </c>
      <c r="G73" s="38" t="s">
        <v>198</v>
      </c>
      <c r="H73" s="38" t="s">
        <v>199</v>
      </c>
      <c r="I73" s="38"/>
      <c r="J73" s="38" t="s">
        <v>181</v>
      </c>
      <c r="K73" s="38" t="s">
        <v>201</v>
      </c>
      <c r="L73" s="38" t="s">
        <v>123</v>
      </c>
      <c r="M73" s="40" t="s">
        <v>78</v>
      </c>
      <c r="N73" s="38" t="s">
        <v>183</v>
      </c>
      <c r="O73" s="40" t="s">
        <v>184</v>
      </c>
      <c r="P73" s="41" t="s">
        <v>185</v>
      </c>
      <c r="Q73" s="40" t="s">
        <v>186</v>
      </c>
      <c r="R73" s="40" t="s">
        <v>187</v>
      </c>
      <c r="S73" s="40" t="s">
        <v>188</v>
      </c>
      <c r="T73" s="38" t="s">
        <v>189</v>
      </c>
      <c r="U73" s="38" t="s">
        <v>190</v>
      </c>
      <c r="V73" s="40" t="s">
        <v>191</v>
      </c>
      <c r="W73" s="40" t="s">
        <v>192</v>
      </c>
      <c r="X73" s="40" t="s">
        <v>193</v>
      </c>
      <c r="Y73" s="40" t="s">
        <v>194</v>
      </c>
      <c r="Z73" s="40" t="s">
        <v>195</v>
      </c>
      <c r="AA73" s="44" t="s">
        <v>84</v>
      </c>
      <c r="AB73" s="43" t="s">
        <v>305</v>
      </c>
      <c r="AC73" s="44" t="s">
        <v>196</v>
      </c>
      <c r="AD73" s="44" t="s">
        <v>410</v>
      </c>
      <c r="AE73" s="108" t="s">
        <v>322</v>
      </c>
      <c r="AF73" s="108" t="s">
        <v>487</v>
      </c>
      <c r="AG73" s="108">
        <v>77440</v>
      </c>
    </row>
    <row r="74" spans="1:33" ht="29.25" hidden="1" x14ac:dyDescent="0.15">
      <c r="A74" s="38" t="s">
        <v>197</v>
      </c>
      <c r="B74" s="107">
        <v>547800</v>
      </c>
      <c r="C74" s="107">
        <v>451000</v>
      </c>
      <c r="D74" s="107">
        <v>273900</v>
      </c>
      <c r="E74" s="107">
        <v>177100</v>
      </c>
      <c r="F74" s="107"/>
      <c r="G74" s="38" t="s">
        <v>209</v>
      </c>
      <c r="H74" s="38" t="s">
        <v>210</v>
      </c>
      <c r="I74" s="38"/>
      <c r="J74" s="38" t="s">
        <v>200</v>
      </c>
      <c r="K74" s="38" t="s">
        <v>212</v>
      </c>
      <c r="L74" s="38" t="s">
        <v>124</v>
      </c>
      <c r="M74" s="40"/>
      <c r="N74" s="38" t="s">
        <v>202</v>
      </c>
      <c r="O74" s="40" t="s">
        <v>203</v>
      </c>
      <c r="P74" s="124" t="s">
        <v>488</v>
      </c>
      <c r="Q74" s="40" t="s">
        <v>489</v>
      </c>
      <c r="R74" s="40" t="s">
        <v>204</v>
      </c>
      <c r="S74" s="40" t="s">
        <v>205</v>
      </c>
      <c r="T74" s="45"/>
      <c r="U74" s="45"/>
      <c r="V74" s="45"/>
      <c r="W74" s="45"/>
      <c r="X74" s="45"/>
      <c r="Y74" s="45"/>
      <c r="Z74" s="45"/>
      <c r="AA74" s="44" t="s">
        <v>89</v>
      </c>
      <c r="AB74" s="43" t="s">
        <v>206</v>
      </c>
      <c r="AC74" s="44" t="s">
        <v>411</v>
      </c>
      <c r="AD74" s="44" t="s">
        <v>207</v>
      </c>
      <c r="AE74" s="108" t="s">
        <v>324</v>
      </c>
      <c r="AF74" s="108" t="s">
        <v>490</v>
      </c>
      <c r="AG74" s="108"/>
    </row>
    <row r="75" spans="1:33" ht="33" hidden="1" x14ac:dyDescent="0.15">
      <c r="A75" s="38" t="s">
        <v>208</v>
      </c>
      <c r="B75" s="107"/>
      <c r="C75" s="107"/>
      <c r="D75" s="107"/>
      <c r="E75" s="107"/>
      <c r="F75" s="107"/>
      <c r="G75" s="38" t="s">
        <v>223</v>
      </c>
      <c r="H75" s="38" t="s">
        <v>491</v>
      </c>
      <c r="I75" s="38"/>
      <c r="J75" s="38" t="s">
        <v>211</v>
      </c>
      <c r="K75" s="38" t="s">
        <v>226</v>
      </c>
      <c r="L75" s="38" t="s">
        <v>126</v>
      </c>
      <c r="M75" s="38"/>
      <c r="N75" s="38" t="s">
        <v>213</v>
      </c>
      <c r="O75" s="40" t="s">
        <v>214</v>
      </c>
      <c r="P75" s="41" t="s">
        <v>215</v>
      </c>
      <c r="Q75" s="40" t="s">
        <v>216</v>
      </c>
      <c r="R75" s="40" t="s">
        <v>217</v>
      </c>
      <c r="S75" s="40" t="s">
        <v>218</v>
      </c>
      <c r="T75" s="45"/>
      <c r="U75" s="45"/>
      <c r="V75" s="45"/>
      <c r="W75" s="45"/>
      <c r="X75" s="45"/>
      <c r="Y75" s="45"/>
      <c r="Z75" s="45"/>
      <c r="AA75" s="44" t="s">
        <v>219</v>
      </c>
      <c r="AB75" s="43" t="s">
        <v>220</v>
      </c>
      <c r="AC75" s="44" t="s">
        <v>221</v>
      </c>
      <c r="AD75" s="44" t="s">
        <v>412</v>
      </c>
      <c r="AE75" s="108" t="s">
        <v>326</v>
      </c>
      <c r="AF75" s="108" t="s">
        <v>492</v>
      </c>
      <c r="AG75" s="108"/>
    </row>
    <row r="76" spans="1:33" ht="24.75" hidden="1" x14ac:dyDescent="0.15">
      <c r="A76" s="38" t="s">
        <v>222</v>
      </c>
      <c r="B76" s="107"/>
      <c r="C76" s="107"/>
      <c r="D76" s="107"/>
      <c r="E76" s="107"/>
      <c r="F76" s="107"/>
      <c r="G76" s="38" t="s">
        <v>232</v>
      </c>
      <c r="H76" s="38" t="s">
        <v>233</v>
      </c>
      <c r="I76" s="38"/>
      <c r="J76" s="38" t="s">
        <v>225</v>
      </c>
      <c r="K76" s="38" t="s">
        <v>235</v>
      </c>
      <c r="L76" s="38" t="s">
        <v>227</v>
      </c>
      <c r="M76" s="38"/>
      <c r="N76" s="38" t="s">
        <v>228</v>
      </c>
      <c r="O76" s="40" t="s">
        <v>191</v>
      </c>
      <c r="P76" s="41" t="s">
        <v>192</v>
      </c>
      <c r="Q76" s="40" t="s">
        <v>193</v>
      </c>
      <c r="R76" s="40" t="s">
        <v>224</v>
      </c>
      <c r="S76" s="40" t="s">
        <v>229</v>
      </c>
      <c r="T76" s="45"/>
      <c r="U76" s="45"/>
      <c r="V76" s="45"/>
      <c r="W76" s="45"/>
      <c r="X76" s="45"/>
      <c r="Y76" s="45"/>
      <c r="Z76" s="45"/>
      <c r="AA76" s="44" t="s">
        <v>404</v>
      </c>
      <c r="AB76" s="43" t="s">
        <v>413</v>
      </c>
      <c r="AC76" s="44" t="s">
        <v>230</v>
      </c>
      <c r="AD76" s="44" t="s">
        <v>231</v>
      </c>
      <c r="AE76" s="108" t="s">
        <v>328</v>
      </c>
      <c r="AF76" s="109"/>
      <c r="AG76" s="109"/>
    </row>
    <row r="77" spans="1:33" ht="24.75" hidden="1" x14ac:dyDescent="0.15">
      <c r="A77" s="38"/>
      <c r="B77" s="107"/>
      <c r="C77" s="107"/>
      <c r="D77" s="107"/>
      <c r="E77" s="107"/>
      <c r="F77" s="107"/>
      <c r="G77" s="38" t="s">
        <v>238</v>
      </c>
      <c r="H77" s="38" t="s">
        <v>239</v>
      </c>
      <c r="I77" s="38"/>
      <c r="J77" s="38" t="s">
        <v>234</v>
      </c>
      <c r="K77" s="38" t="s">
        <v>241</v>
      </c>
      <c r="L77" s="38" t="s">
        <v>236</v>
      </c>
      <c r="M77" s="38"/>
      <c r="N77" s="38"/>
      <c r="O77" s="40"/>
      <c r="P77" s="41"/>
      <c r="Q77" s="40"/>
      <c r="R77" s="40"/>
      <c r="S77" s="40"/>
      <c r="T77" s="45"/>
      <c r="U77" s="45"/>
      <c r="V77" s="45"/>
      <c r="W77" s="45"/>
      <c r="X77" s="45"/>
      <c r="Y77" s="45"/>
      <c r="Z77" s="45"/>
      <c r="AA77" s="44" t="s">
        <v>98</v>
      </c>
      <c r="AB77" s="43" t="s">
        <v>237</v>
      </c>
      <c r="AC77" s="44" t="s">
        <v>414</v>
      </c>
      <c r="AD77" s="44" t="s">
        <v>279</v>
      </c>
      <c r="AE77" s="108" t="s">
        <v>330</v>
      </c>
      <c r="AF77" s="109"/>
      <c r="AG77" s="109"/>
    </row>
    <row r="78" spans="1:33" ht="24.75" hidden="1" x14ac:dyDescent="0.15">
      <c r="A78" s="38"/>
      <c r="B78" s="107"/>
      <c r="C78" s="107"/>
      <c r="D78" s="107"/>
      <c r="E78" s="107"/>
      <c r="F78" s="107"/>
      <c r="G78" s="38" t="s">
        <v>291</v>
      </c>
      <c r="H78" s="38" t="s">
        <v>244</v>
      </c>
      <c r="I78" s="38"/>
      <c r="J78" s="38" t="s">
        <v>240</v>
      </c>
      <c r="K78" s="38" t="s">
        <v>245</v>
      </c>
      <c r="L78" s="38" t="s">
        <v>242</v>
      </c>
      <c r="M78" s="38"/>
      <c r="N78" s="38"/>
      <c r="O78" s="40"/>
      <c r="P78" s="40"/>
      <c r="Q78" s="40"/>
      <c r="R78" s="40"/>
      <c r="S78" s="40"/>
      <c r="T78" s="45"/>
      <c r="U78" s="45"/>
      <c r="V78" s="45"/>
      <c r="W78" s="45"/>
      <c r="X78" s="45"/>
      <c r="Y78" s="45"/>
      <c r="Z78" s="45"/>
      <c r="AA78" s="44" t="s">
        <v>243</v>
      </c>
      <c r="AB78" s="43" t="s">
        <v>237</v>
      </c>
      <c r="AC78" s="42" t="s">
        <v>294</v>
      </c>
      <c r="AD78" s="42" t="str">
        <f>$C$24&amp;"　様の約1ヵ月以内に発行した印鑑証明書を右記通数ご返送願います。"</f>
        <v>　様の約1ヵ月以内に発行した印鑑証明書を右記通数ご返送願います。</v>
      </c>
      <c r="AE78" s="108" t="s">
        <v>332</v>
      </c>
      <c r="AF78" s="109"/>
      <c r="AG78" s="109"/>
    </row>
    <row r="79" spans="1:33" hidden="1" x14ac:dyDescent="0.15">
      <c r="A79" s="38"/>
      <c r="B79" s="107"/>
      <c r="C79" s="107"/>
      <c r="D79" s="107"/>
      <c r="E79" s="107"/>
      <c r="F79" s="107"/>
      <c r="G79" s="38" t="s">
        <v>247</v>
      </c>
      <c r="H79" s="38" t="s">
        <v>248</v>
      </c>
      <c r="I79" s="38"/>
      <c r="J79" s="38" t="s">
        <v>306</v>
      </c>
      <c r="K79" s="38" t="s">
        <v>249</v>
      </c>
      <c r="L79" s="38" t="s">
        <v>128</v>
      </c>
      <c r="M79" s="38"/>
      <c r="N79" s="38"/>
      <c r="O79" s="40"/>
      <c r="P79" s="40"/>
      <c r="Q79" s="40"/>
      <c r="R79" s="40"/>
      <c r="S79" s="40"/>
      <c r="T79" s="45"/>
      <c r="U79" s="45"/>
      <c r="V79" s="45"/>
      <c r="W79" s="45"/>
      <c r="X79" s="45"/>
      <c r="Y79" s="45"/>
      <c r="Z79" s="45"/>
      <c r="AA79" s="44" t="s">
        <v>101</v>
      </c>
      <c r="AB79" s="43" t="s">
        <v>246</v>
      </c>
      <c r="AC79" s="44"/>
      <c r="AD79" s="44"/>
      <c r="AE79" s="108" t="s">
        <v>334</v>
      </c>
      <c r="AF79" s="109"/>
      <c r="AG79" s="109"/>
    </row>
    <row r="80" spans="1:33" hidden="1" x14ac:dyDescent="0.15">
      <c r="A80" s="38"/>
      <c r="B80" s="38"/>
      <c r="C80" s="38"/>
      <c r="D80" s="38"/>
      <c r="E80" s="38"/>
      <c r="F80" s="38"/>
      <c r="G80" s="38" t="s">
        <v>250</v>
      </c>
      <c r="H80" s="39" t="s">
        <v>493</v>
      </c>
      <c r="I80" s="38"/>
      <c r="J80" s="38" t="s">
        <v>430</v>
      </c>
      <c r="K80" s="38" t="s">
        <v>253</v>
      </c>
      <c r="L80" s="38" t="s">
        <v>130</v>
      </c>
      <c r="M80" s="40"/>
      <c r="N80" s="38"/>
      <c r="O80" s="40"/>
      <c r="P80" s="40"/>
      <c r="Q80" s="40"/>
      <c r="R80" s="40"/>
      <c r="S80" s="40"/>
      <c r="T80" s="45"/>
      <c r="U80" s="45"/>
      <c r="V80" s="45"/>
      <c r="W80" s="45"/>
      <c r="X80" s="45"/>
      <c r="Y80" s="45"/>
      <c r="Z80" s="45"/>
      <c r="AA80" s="44" t="s">
        <v>295</v>
      </c>
      <c r="AB80" s="43" t="s">
        <v>246</v>
      </c>
      <c r="AC80" s="44"/>
      <c r="AD80" s="44"/>
      <c r="AE80" s="108" t="s">
        <v>336</v>
      </c>
      <c r="AF80" s="109"/>
      <c r="AG80" s="109"/>
    </row>
    <row r="81" spans="1:33" hidden="1" x14ac:dyDescent="0.15">
      <c r="A81" s="38"/>
      <c r="B81" s="38"/>
      <c r="C81" s="38"/>
      <c r="D81" s="38"/>
      <c r="E81" s="38"/>
      <c r="F81" s="38"/>
      <c r="G81" s="38" t="s">
        <v>251</v>
      </c>
      <c r="H81" s="38" t="s">
        <v>252</v>
      </c>
      <c r="I81" s="38"/>
      <c r="J81" s="38" t="s">
        <v>431</v>
      </c>
      <c r="K81" s="38" t="s">
        <v>263</v>
      </c>
      <c r="L81" s="38" t="s">
        <v>132</v>
      </c>
      <c r="M81" s="40"/>
      <c r="N81" s="38"/>
      <c r="O81" s="40"/>
      <c r="P81" s="40"/>
      <c r="Q81" s="40"/>
      <c r="R81" s="40"/>
      <c r="S81" s="40"/>
      <c r="T81" s="45"/>
      <c r="U81" s="45"/>
      <c r="V81" s="45"/>
      <c r="W81" s="45"/>
      <c r="X81" s="45"/>
      <c r="Y81" s="45"/>
      <c r="Z81" s="45"/>
      <c r="AA81" s="44" t="s">
        <v>280</v>
      </c>
      <c r="AB81" s="46" t="s">
        <v>296</v>
      </c>
      <c r="AC81" s="44"/>
      <c r="AD81" s="44"/>
      <c r="AE81" s="108" t="s">
        <v>338</v>
      </c>
      <c r="AF81" s="109"/>
      <c r="AG81" s="109"/>
    </row>
    <row r="82" spans="1:33" hidden="1" x14ac:dyDescent="0.15">
      <c r="A82" s="38"/>
      <c r="B82" s="38"/>
      <c r="C82" s="38"/>
      <c r="D82" s="38"/>
      <c r="E82" s="38"/>
      <c r="F82" s="38"/>
      <c r="G82" s="38" t="s">
        <v>254</v>
      </c>
      <c r="H82" s="38" t="s">
        <v>255</v>
      </c>
      <c r="I82" s="38"/>
      <c r="J82" s="38" t="s">
        <v>432</v>
      </c>
      <c r="K82" s="38" t="s">
        <v>308</v>
      </c>
      <c r="L82" s="38" t="s">
        <v>134</v>
      </c>
      <c r="M82" s="40"/>
      <c r="N82" s="38"/>
      <c r="O82" s="40"/>
      <c r="P82" s="40"/>
      <c r="Q82" s="40"/>
      <c r="R82" s="40"/>
      <c r="S82" s="40"/>
      <c r="T82" s="45"/>
      <c r="U82" s="45"/>
      <c r="V82" s="45"/>
      <c r="W82" s="45"/>
      <c r="X82" s="45"/>
      <c r="Y82" s="45"/>
      <c r="Z82" s="45"/>
      <c r="AA82" s="44" t="s">
        <v>415</v>
      </c>
      <c r="AB82" s="43" t="s">
        <v>416</v>
      </c>
      <c r="AC82" s="44"/>
      <c r="AD82" s="44"/>
      <c r="AE82" s="108" t="s">
        <v>340</v>
      </c>
      <c r="AF82" s="109"/>
      <c r="AG82" s="109"/>
    </row>
    <row r="83" spans="1:33" hidden="1" x14ac:dyDescent="0.15">
      <c r="A83" s="38"/>
      <c r="B83" s="38"/>
      <c r="C83" s="38"/>
      <c r="D83" s="38"/>
      <c r="E83" s="38"/>
      <c r="F83" s="38"/>
      <c r="G83" s="38" t="s">
        <v>257</v>
      </c>
      <c r="H83" s="38" t="s">
        <v>258</v>
      </c>
      <c r="I83" s="38"/>
      <c r="J83" s="38" t="s">
        <v>494</v>
      </c>
      <c r="K83" s="38" t="s">
        <v>309</v>
      </c>
      <c r="L83" s="38" t="s">
        <v>256</v>
      </c>
      <c r="M83" s="40"/>
      <c r="N83" s="38"/>
      <c r="O83" s="40"/>
      <c r="P83" s="40"/>
      <c r="Q83" s="40"/>
      <c r="R83" s="40"/>
      <c r="S83" s="40"/>
      <c r="T83" s="45"/>
      <c r="U83" s="45"/>
      <c r="V83" s="45"/>
      <c r="W83" s="45"/>
      <c r="X83" s="45"/>
      <c r="Y83" s="45"/>
      <c r="Z83" s="45"/>
      <c r="AA83" s="44"/>
      <c r="AB83" s="47"/>
      <c r="AC83" s="44"/>
      <c r="AD83" s="44"/>
      <c r="AE83" s="108" t="s">
        <v>342</v>
      </c>
      <c r="AF83" s="109"/>
      <c r="AG83" s="109"/>
    </row>
    <row r="84" spans="1:33" hidden="1" x14ac:dyDescent="0.15">
      <c r="A84" s="38"/>
      <c r="B84" s="38"/>
      <c r="C84" s="38"/>
      <c r="D84" s="38"/>
      <c r="E84" s="38"/>
      <c r="F84" s="38"/>
      <c r="G84" s="38" t="s">
        <v>260</v>
      </c>
      <c r="H84" s="38" t="s">
        <v>261</v>
      </c>
      <c r="I84" s="38"/>
      <c r="J84" s="38" t="s">
        <v>495</v>
      </c>
      <c r="K84" s="38" t="s">
        <v>417</v>
      </c>
      <c r="L84" s="38" t="s">
        <v>259</v>
      </c>
      <c r="M84" s="40"/>
      <c r="N84" s="38"/>
      <c r="O84" s="40"/>
      <c r="P84" s="40"/>
      <c r="Q84" s="40"/>
      <c r="R84" s="40"/>
      <c r="S84" s="40"/>
      <c r="T84" s="45"/>
      <c r="U84" s="45"/>
      <c r="V84" s="45"/>
      <c r="W84" s="45"/>
      <c r="X84" s="45"/>
      <c r="Y84" s="45"/>
      <c r="Z84" s="45"/>
      <c r="AA84" s="44"/>
      <c r="AB84" s="47"/>
      <c r="AC84" s="44"/>
      <c r="AD84" s="44"/>
      <c r="AE84" s="108" t="s">
        <v>344</v>
      </c>
      <c r="AF84" s="109"/>
      <c r="AG84" s="109"/>
    </row>
    <row r="85" spans="1:33" hidden="1" x14ac:dyDescent="0.15">
      <c r="A85" s="38"/>
      <c r="B85" s="38"/>
      <c r="C85" s="38"/>
      <c r="D85" s="38"/>
      <c r="E85" s="38"/>
      <c r="F85" s="38"/>
      <c r="G85" s="38" t="s">
        <v>292</v>
      </c>
      <c r="H85" s="38" t="s">
        <v>262</v>
      </c>
      <c r="I85" s="38"/>
      <c r="J85" s="38" t="s">
        <v>496</v>
      </c>
      <c r="K85" s="38" t="s">
        <v>418</v>
      </c>
      <c r="L85" s="38" t="s">
        <v>281</v>
      </c>
      <c r="M85" s="40"/>
      <c r="N85" s="38"/>
      <c r="O85" s="40"/>
      <c r="P85" s="40"/>
      <c r="Q85" s="40"/>
      <c r="R85" s="40"/>
      <c r="S85" s="40"/>
      <c r="T85" s="45"/>
      <c r="U85" s="45"/>
      <c r="V85" s="45"/>
      <c r="W85" s="45"/>
      <c r="X85" s="45"/>
      <c r="Y85" s="45"/>
      <c r="Z85" s="45"/>
      <c r="AA85" s="44"/>
      <c r="AB85" s="47"/>
      <c r="AC85" s="44"/>
      <c r="AD85" s="44"/>
      <c r="AE85" s="108" t="s">
        <v>346</v>
      </c>
      <c r="AF85" s="109"/>
      <c r="AG85" s="109"/>
    </row>
    <row r="86" spans="1:33" hidden="1" x14ac:dyDescent="0.15">
      <c r="A86" s="38"/>
      <c r="B86" s="38"/>
      <c r="C86" s="38"/>
      <c r="D86" s="38"/>
      <c r="E86" s="38"/>
      <c r="F86" s="38"/>
      <c r="G86" s="38" t="s">
        <v>266</v>
      </c>
      <c r="H86" s="39" t="s">
        <v>497</v>
      </c>
      <c r="I86" s="38"/>
      <c r="J86" s="38" t="s">
        <v>498</v>
      </c>
      <c r="K86" s="38" t="s">
        <v>419</v>
      </c>
      <c r="L86" s="38" t="s">
        <v>264</v>
      </c>
      <c r="M86" s="40"/>
      <c r="N86" s="40"/>
      <c r="O86" s="40"/>
      <c r="P86" s="40"/>
      <c r="Q86" s="40"/>
      <c r="R86" s="40"/>
      <c r="S86" s="40"/>
      <c r="T86" s="45"/>
      <c r="U86" s="45"/>
      <c r="V86" s="45"/>
      <c r="W86" s="45"/>
      <c r="X86" s="45"/>
      <c r="Y86" s="45"/>
      <c r="Z86" s="45"/>
      <c r="AA86" s="44"/>
      <c r="AB86" s="47"/>
      <c r="AC86" s="44"/>
      <c r="AD86" s="44"/>
      <c r="AE86" s="108" t="s">
        <v>348</v>
      </c>
      <c r="AF86" s="109"/>
      <c r="AG86" s="109"/>
    </row>
    <row r="87" spans="1:33" hidden="1" x14ac:dyDescent="0.15">
      <c r="A87" s="38"/>
      <c r="B87" s="38"/>
      <c r="C87" s="38"/>
      <c r="D87" s="38"/>
      <c r="E87" s="38"/>
      <c r="F87" s="38"/>
      <c r="G87" s="38" t="s">
        <v>267</v>
      </c>
      <c r="H87" s="38" t="s">
        <v>268</v>
      </c>
      <c r="I87" s="38"/>
      <c r="J87" s="38" t="s">
        <v>499</v>
      </c>
      <c r="K87" s="38" t="s">
        <v>420</v>
      </c>
      <c r="L87" s="38" t="s">
        <v>265</v>
      </c>
      <c r="M87" s="40"/>
      <c r="N87" s="40"/>
      <c r="O87" s="40"/>
      <c r="P87" s="40"/>
      <c r="Q87" s="40"/>
      <c r="R87" s="40"/>
      <c r="S87" s="40"/>
      <c r="T87" s="45"/>
      <c r="U87" s="45"/>
      <c r="V87" s="45"/>
      <c r="W87" s="45"/>
      <c r="X87" s="45"/>
      <c r="Y87" s="45"/>
      <c r="Z87" s="45"/>
      <c r="AA87" s="44"/>
      <c r="AB87" s="47"/>
      <c r="AC87" s="44"/>
      <c r="AD87" s="44"/>
      <c r="AE87" s="108" t="s">
        <v>350</v>
      </c>
      <c r="AF87" s="109"/>
      <c r="AG87" s="109"/>
    </row>
    <row r="88" spans="1:33" hidden="1" x14ac:dyDescent="0.15">
      <c r="A88" s="38"/>
      <c r="B88" s="38"/>
      <c r="C88" s="38"/>
      <c r="D88" s="38"/>
      <c r="E88" s="38"/>
      <c r="F88" s="38"/>
      <c r="G88" s="38" t="s">
        <v>269</v>
      </c>
      <c r="H88" s="38" t="s">
        <v>500</v>
      </c>
      <c r="I88" s="38"/>
      <c r="J88" s="38" t="s">
        <v>501</v>
      </c>
      <c r="K88" s="38" t="s">
        <v>421</v>
      </c>
      <c r="L88" s="38" t="s">
        <v>136</v>
      </c>
      <c r="M88" s="38"/>
      <c r="N88" s="45"/>
      <c r="O88" s="45"/>
      <c r="P88" s="45"/>
      <c r="Q88" s="45"/>
      <c r="R88" s="45"/>
      <c r="S88" s="45"/>
      <c r="T88" s="45"/>
      <c r="U88" s="45"/>
      <c r="V88" s="45"/>
      <c r="W88" s="45"/>
      <c r="X88" s="45"/>
      <c r="Y88" s="45"/>
      <c r="Z88" s="45"/>
      <c r="AA88" s="44"/>
      <c r="AB88" s="47"/>
      <c r="AC88" s="44"/>
      <c r="AD88" s="44"/>
      <c r="AE88" s="108" t="s">
        <v>352</v>
      </c>
      <c r="AF88" s="109"/>
      <c r="AG88" s="109"/>
    </row>
    <row r="89" spans="1:33" hidden="1" x14ac:dyDescent="0.15">
      <c r="A89" s="38"/>
      <c r="B89" s="38"/>
      <c r="C89" s="38"/>
      <c r="D89" s="38"/>
      <c r="E89" s="38"/>
      <c r="F89" s="38"/>
      <c r="G89" s="38" t="s">
        <v>270</v>
      </c>
      <c r="H89" s="38" t="s">
        <v>271</v>
      </c>
      <c r="I89" s="38"/>
      <c r="J89" s="38"/>
      <c r="K89" s="38" t="s">
        <v>433</v>
      </c>
      <c r="L89" s="38" t="s">
        <v>138</v>
      </c>
      <c r="M89" s="38"/>
      <c r="N89" s="45"/>
      <c r="O89" s="45"/>
      <c r="P89" s="45"/>
      <c r="Q89" s="45"/>
      <c r="R89" s="45"/>
      <c r="S89" s="45"/>
      <c r="T89" s="45"/>
      <c r="U89" s="45"/>
      <c r="V89" s="45"/>
      <c r="W89" s="45"/>
      <c r="X89" s="45"/>
      <c r="Y89" s="45"/>
      <c r="Z89" s="45"/>
      <c r="AA89" s="44"/>
      <c r="AB89" s="47"/>
      <c r="AC89" s="44"/>
      <c r="AD89" s="44"/>
      <c r="AE89" s="108" t="s">
        <v>354</v>
      </c>
      <c r="AF89" s="109"/>
      <c r="AG89" s="109"/>
    </row>
    <row r="90" spans="1:33" hidden="1" x14ac:dyDescent="0.15">
      <c r="A90" s="38"/>
      <c r="B90" s="38"/>
      <c r="C90" s="38"/>
      <c r="D90" s="38"/>
      <c r="E90" s="38"/>
      <c r="F90" s="38"/>
      <c r="G90" s="38" t="s">
        <v>272</v>
      </c>
      <c r="H90" s="38" t="s">
        <v>273</v>
      </c>
      <c r="I90" s="38"/>
      <c r="J90" s="38" t="s">
        <v>246</v>
      </c>
      <c r="K90" s="38" t="s">
        <v>434</v>
      </c>
      <c r="L90" s="38" t="s">
        <v>140</v>
      </c>
      <c r="M90" s="38"/>
      <c r="N90" s="45"/>
      <c r="O90" s="45"/>
      <c r="P90" s="45"/>
      <c r="Q90" s="45"/>
      <c r="R90" s="45"/>
      <c r="S90" s="45"/>
      <c r="T90" s="45"/>
      <c r="U90" s="45"/>
      <c r="V90" s="45"/>
      <c r="W90" s="45"/>
      <c r="X90" s="45"/>
      <c r="Y90" s="45"/>
      <c r="Z90" s="45"/>
      <c r="AA90" s="44"/>
      <c r="AB90" s="47"/>
      <c r="AC90" s="44"/>
      <c r="AD90" s="44"/>
      <c r="AE90" s="108" t="s">
        <v>356</v>
      </c>
      <c r="AF90" s="109"/>
      <c r="AG90" s="109"/>
    </row>
    <row r="91" spans="1:33" hidden="1" x14ac:dyDescent="0.15">
      <c r="A91" s="38"/>
      <c r="B91" s="38"/>
      <c r="C91" s="38"/>
      <c r="D91" s="38"/>
      <c r="E91" s="38"/>
      <c r="F91" s="38"/>
      <c r="G91" s="38" t="s">
        <v>275</v>
      </c>
      <c r="H91" s="38" t="s">
        <v>276</v>
      </c>
      <c r="I91" s="38"/>
      <c r="J91" s="38" t="s">
        <v>246</v>
      </c>
      <c r="K91" s="38" t="s">
        <v>435</v>
      </c>
      <c r="L91" s="38" t="s">
        <v>142</v>
      </c>
      <c r="M91" s="38"/>
      <c r="N91" s="45"/>
      <c r="O91" s="45"/>
      <c r="P91" s="45"/>
      <c r="Q91" s="45"/>
      <c r="R91" s="45"/>
      <c r="S91" s="45"/>
      <c r="T91" s="45"/>
      <c r="U91" s="45"/>
      <c r="V91" s="45"/>
      <c r="W91" s="45"/>
      <c r="X91" s="45"/>
      <c r="Y91" s="45"/>
      <c r="Z91" s="45"/>
      <c r="AA91" s="44"/>
      <c r="AB91" s="47"/>
      <c r="AC91" s="44"/>
      <c r="AD91" s="44"/>
      <c r="AE91" s="108" t="s">
        <v>357</v>
      </c>
      <c r="AF91" s="109"/>
      <c r="AG91" s="109"/>
    </row>
    <row r="92" spans="1:33" hidden="1" x14ac:dyDescent="0.15">
      <c r="A92" s="38"/>
      <c r="B92" s="38"/>
      <c r="C92" s="38"/>
      <c r="D92" s="38"/>
      <c r="E92" s="38"/>
      <c r="F92" s="38"/>
      <c r="G92" s="38" t="s">
        <v>278</v>
      </c>
      <c r="H92" s="38" t="s">
        <v>502</v>
      </c>
      <c r="I92" s="38"/>
      <c r="J92" s="38" t="s">
        <v>246</v>
      </c>
      <c r="K92" s="38" t="s">
        <v>436</v>
      </c>
      <c r="L92" s="38" t="s">
        <v>274</v>
      </c>
      <c r="M92" s="38"/>
      <c r="N92" s="45"/>
      <c r="O92" s="45"/>
      <c r="P92" s="45"/>
      <c r="Q92" s="45"/>
      <c r="R92" s="45"/>
      <c r="S92" s="45"/>
      <c r="T92" s="45"/>
      <c r="U92" s="45"/>
      <c r="V92" s="45"/>
      <c r="W92" s="45"/>
      <c r="X92" s="45"/>
      <c r="Y92" s="45"/>
      <c r="Z92" s="45"/>
      <c r="AA92" s="44"/>
      <c r="AB92" s="47"/>
      <c r="AC92" s="44"/>
      <c r="AD92" s="44"/>
      <c r="AE92" s="108" t="s">
        <v>358</v>
      </c>
      <c r="AF92" s="109"/>
      <c r="AG92" s="109"/>
    </row>
    <row r="93" spans="1:33" hidden="1" x14ac:dyDescent="0.15">
      <c r="A93" s="38"/>
      <c r="B93" s="38"/>
      <c r="C93" s="38"/>
      <c r="D93" s="38"/>
      <c r="E93" s="38"/>
      <c r="F93" s="38"/>
      <c r="G93" s="38" t="s">
        <v>297</v>
      </c>
      <c r="H93" s="38" t="s">
        <v>298</v>
      </c>
      <c r="I93" s="38"/>
      <c r="J93" s="38" t="s">
        <v>246</v>
      </c>
      <c r="K93" s="38" t="s">
        <v>437</v>
      </c>
      <c r="L93" s="38" t="s">
        <v>503</v>
      </c>
      <c r="M93" s="40"/>
      <c r="N93" s="45"/>
      <c r="O93" s="45"/>
      <c r="P93" s="45"/>
      <c r="Q93" s="45"/>
      <c r="R93" s="45"/>
      <c r="S93" s="45"/>
      <c r="T93" s="45"/>
      <c r="U93" s="45"/>
      <c r="V93" s="45"/>
      <c r="W93" s="45"/>
      <c r="X93" s="45"/>
      <c r="Y93" s="45"/>
      <c r="Z93" s="45"/>
      <c r="AA93" s="44"/>
      <c r="AB93" s="47"/>
      <c r="AC93" s="44"/>
      <c r="AD93" s="44"/>
      <c r="AE93" s="108" t="s">
        <v>359</v>
      </c>
      <c r="AF93" s="109"/>
      <c r="AG93" s="109"/>
    </row>
    <row r="94" spans="1:33" hidden="1" x14ac:dyDescent="0.15">
      <c r="A94" s="38"/>
      <c r="B94" s="38"/>
      <c r="C94" s="38"/>
      <c r="D94" s="38"/>
      <c r="E94" s="38"/>
      <c r="F94" s="38"/>
      <c r="G94" s="38" t="s">
        <v>299</v>
      </c>
      <c r="H94" s="38" t="s">
        <v>300</v>
      </c>
      <c r="I94" s="38"/>
      <c r="J94" s="38" t="s">
        <v>246</v>
      </c>
      <c r="K94" s="38" t="s">
        <v>504</v>
      </c>
      <c r="L94" s="38" t="s">
        <v>144</v>
      </c>
      <c r="M94" s="40"/>
      <c r="N94" s="45"/>
      <c r="O94" s="45"/>
      <c r="P94" s="45"/>
      <c r="Q94" s="45"/>
      <c r="R94" s="45"/>
      <c r="S94" s="45"/>
      <c r="T94" s="45"/>
      <c r="U94" s="45"/>
      <c r="V94" s="45"/>
      <c r="W94" s="45"/>
      <c r="X94" s="45"/>
      <c r="Y94" s="45"/>
      <c r="Z94" s="45"/>
      <c r="AA94" s="44"/>
      <c r="AB94" s="47"/>
      <c r="AC94" s="44"/>
      <c r="AD94" s="44"/>
      <c r="AE94" s="108" t="s">
        <v>360</v>
      </c>
      <c r="AF94" s="109"/>
      <c r="AG94" s="109"/>
    </row>
    <row r="95" spans="1:33" hidden="1" x14ac:dyDescent="0.15">
      <c r="A95" s="38"/>
      <c r="B95" s="38"/>
      <c r="C95" s="38"/>
      <c r="D95" s="38"/>
      <c r="E95" s="38"/>
      <c r="F95" s="38"/>
      <c r="G95" s="38" t="s">
        <v>301</v>
      </c>
      <c r="H95" s="38" t="s">
        <v>505</v>
      </c>
      <c r="I95" s="38"/>
      <c r="J95" s="38"/>
      <c r="K95" s="38" t="s">
        <v>506</v>
      </c>
      <c r="L95" s="38" t="s">
        <v>277</v>
      </c>
      <c r="M95" s="40"/>
      <c r="N95" s="45"/>
      <c r="O95" s="45"/>
      <c r="P95" s="45"/>
      <c r="Q95" s="45"/>
      <c r="R95" s="45"/>
      <c r="S95" s="45"/>
      <c r="T95" s="45"/>
      <c r="U95" s="45"/>
      <c r="V95" s="45"/>
      <c r="W95" s="45"/>
      <c r="X95" s="45"/>
      <c r="Y95" s="45"/>
      <c r="Z95" s="45"/>
      <c r="AA95" s="44"/>
      <c r="AB95" s="47"/>
      <c r="AC95" s="44"/>
      <c r="AD95" s="44"/>
      <c r="AE95" s="108" t="s">
        <v>361</v>
      </c>
      <c r="AF95" s="109"/>
      <c r="AG95" s="109"/>
    </row>
    <row r="96" spans="1:33" hidden="1" x14ac:dyDescent="0.15">
      <c r="A96" s="38"/>
      <c r="B96" s="38"/>
      <c r="C96" s="38"/>
      <c r="D96" s="38"/>
      <c r="E96" s="38"/>
      <c r="F96" s="38"/>
      <c r="G96" s="38" t="s">
        <v>310</v>
      </c>
      <c r="H96" s="38" t="s">
        <v>217</v>
      </c>
      <c r="I96" s="38"/>
      <c r="J96" s="38" t="s">
        <v>246</v>
      </c>
      <c r="K96" s="38" t="s">
        <v>507</v>
      </c>
      <c r="L96" s="38" t="s">
        <v>282</v>
      </c>
      <c r="M96" s="40"/>
      <c r="N96" s="45"/>
      <c r="O96" s="45"/>
      <c r="P96" s="45"/>
      <c r="Q96" s="45"/>
      <c r="R96" s="45"/>
      <c r="S96" s="45"/>
      <c r="T96" s="45"/>
      <c r="U96" s="45"/>
      <c r="V96" s="45"/>
      <c r="W96" s="45"/>
      <c r="X96" s="45"/>
      <c r="Y96" s="45"/>
      <c r="Z96" s="45"/>
      <c r="AA96" s="47"/>
      <c r="AB96" s="47"/>
      <c r="AC96" s="47"/>
      <c r="AD96" s="47"/>
      <c r="AE96" s="108" t="s">
        <v>362</v>
      </c>
      <c r="AF96" s="109"/>
      <c r="AG96" s="109"/>
    </row>
    <row r="97" spans="1:33" hidden="1" x14ac:dyDescent="0.15">
      <c r="A97" s="38"/>
      <c r="B97" s="38"/>
      <c r="C97" s="38"/>
      <c r="D97" s="38"/>
      <c r="E97" s="38"/>
      <c r="F97" s="38"/>
      <c r="G97" s="38" t="s">
        <v>422</v>
      </c>
      <c r="H97" s="38" t="s">
        <v>168</v>
      </c>
      <c r="I97" s="38"/>
      <c r="J97" s="38" t="s">
        <v>246</v>
      </c>
      <c r="K97" s="38" t="s">
        <v>508</v>
      </c>
      <c r="L97" s="38"/>
      <c r="M97" s="40"/>
      <c r="N97" s="45"/>
      <c r="O97" s="45"/>
      <c r="P97" s="45"/>
      <c r="Q97" s="45"/>
      <c r="R97" s="45"/>
      <c r="S97" s="45"/>
      <c r="T97" s="45"/>
      <c r="U97" s="45"/>
      <c r="V97" s="45"/>
      <c r="W97" s="45"/>
      <c r="X97" s="45"/>
      <c r="Y97" s="45"/>
      <c r="Z97" s="45"/>
      <c r="AA97" s="47"/>
      <c r="AB97" s="47"/>
      <c r="AC97" s="47"/>
      <c r="AD97" s="47"/>
      <c r="AE97" s="108" t="s">
        <v>363</v>
      </c>
      <c r="AF97" s="109"/>
      <c r="AG97" s="109"/>
    </row>
    <row r="98" spans="1:33" hidden="1" x14ac:dyDescent="0.15">
      <c r="A98" s="38"/>
      <c r="B98" s="38"/>
      <c r="C98" s="38"/>
      <c r="D98" s="38"/>
      <c r="E98" s="38"/>
      <c r="F98" s="38"/>
      <c r="G98" s="38" t="s">
        <v>423</v>
      </c>
      <c r="H98" s="38" t="s">
        <v>509</v>
      </c>
      <c r="I98" s="38"/>
      <c r="J98" s="38" t="s">
        <v>246</v>
      </c>
      <c r="K98" s="38" t="s">
        <v>510</v>
      </c>
      <c r="L98" s="38"/>
      <c r="M98" s="40"/>
      <c r="N98" s="45"/>
      <c r="O98" s="45"/>
      <c r="P98" s="45"/>
      <c r="Q98" s="45"/>
      <c r="R98" s="45"/>
      <c r="S98" s="45"/>
      <c r="T98" s="45"/>
      <c r="U98" s="45"/>
      <c r="V98" s="45"/>
      <c r="W98" s="45"/>
      <c r="X98" s="45"/>
      <c r="Y98" s="45"/>
      <c r="Z98" s="45"/>
      <c r="AA98" s="47"/>
      <c r="AB98" s="47"/>
      <c r="AC98" s="47"/>
      <c r="AD98" s="47"/>
      <c r="AE98" s="108" t="s">
        <v>364</v>
      </c>
      <c r="AF98" s="109"/>
      <c r="AG98" s="109"/>
    </row>
    <row r="99" spans="1:33" hidden="1" x14ac:dyDescent="0.15">
      <c r="A99" s="38"/>
      <c r="B99" s="38"/>
      <c r="C99" s="38"/>
      <c r="D99" s="38"/>
      <c r="E99" s="38"/>
      <c r="F99" s="38"/>
      <c r="G99" s="38" t="s">
        <v>424</v>
      </c>
      <c r="H99" s="38" t="s">
        <v>511</v>
      </c>
      <c r="I99" s="38"/>
      <c r="J99" s="45"/>
      <c r="K99" s="38" t="s">
        <v>512</v>
      </c>
      <c r="L99" s="38"/>
      <c r="M99" s="40"/>
      <c r="N99" s="45"/>
      <c r="O99" s="45"/>
      <c r="P99" s="45"/>
      <c r="Q99" s="45"/>
      <c r="R99" s="45"/>
      <c r="S99" s="45"/>
      <c r="T99" s="45"/>
      <c r="U99" s="45"/>
      <c r="V99" s="45"/>
      <c r="W99" s="45"/>
      <c r="X99" s="45"/>
      <c r="Y99" s="45"/>
      <c r="Z99" s="45"/>
      <c r="AA99" s="47"/>
      <c r="AB99" s="47"/>
      <c r="AC99" s="47"/>
      <c r="AD99" s="47"/>
      <c r="AE99" s="108" t="s">
        <v>408</v>
      </c>
      <c r="AF99" s="109"/>
      <c r="AG99" s="109"/>
    </row>
    <row r="100" spans="1:33" hidden="1" x14ac:dyDescent="0.15">
      <c r="A100" s="38"/>
      <c r="B100" s="38"/>
      <c r="C100" s="38"/>
      <c r="D100" s="38"/>
      <c r="E100" s="38"/>
      <c r="F100" s="38"/>
      <c r="G100" s="38" t="s">
        <v>425</v>
      </c>
      <c r="H100" s="38" t="s">
        <v>513</v>
      </c>
      <c r="I100" s="45"/>
      <c r="J100" s="45"/>
      <c r="K100" s="38" t="s">
        <v>514</v>
      </c>
      <c r="L100" s="45"/>
      <c r="M100" s="45"/>
      <c r="N100" s="45"/>
      <c r="O100" s="45"/>
      <c r="P100" s="45"/>
      <c r="Q100" s="45"/>
      <c r="R100" s="45"/>
      <c r="S100" s="45"/>
      <c r="T100" s="45"/>
      <c r="U100" s="45"/>
      <c r="V100" s="45"/>
      <c r="W100" s="45"/>
      <c r="X100" s="45"/>
      <c r="Y100" s="45"/>
      <c r="Z100" s="45"/>
      <c r="AA100" s="47"/>
      <c r="AB100" s="47"/>
      <c r="AC100" s="47"/>
      <c r="AD100" s="47"/>
      <c r="AE100" s="108" t="s">
        <v>365</v>
      </c>
      <c r="AF100" s="109"/>
      <c r="AG100" s="109"/>
    </row>
    <row r="101" spans="1:33" hidden="1" x14ac:dyDescent="0.15">
      <c r="A101" s="38"/>
      <c r="B101" s="38"/>
      <c r="C101" s="38"/>
      <c r="D101" s="38"/>
      <c r="E101" s="38"/>
      <c r="F101" s="38"/>
      <c r="G101" s="38" t="s">
        <v>438</v>
      </c>
      <c r="H101" s="38" t="s">
        <v>439</v>
      </c>
      <c r="I101" s="45"/>
      <c r="J101" s="45"/>
      <c r="K101" s="38" t="s">
        <v>515</v>
      </c>
      <c r="L101" s="45"/>
      <c r="M101" s="45"/>
      <c r="N101" s="45"/>
      <c r="O101" s="45"/>
      <c r="P101" s="45"/>
      <c r="Q101" s="45"/>
      <c r="R101" s="45"/>
      <c r="S101" s="45"/>
      <c r="T101" s="45"/>
      <c r="U101" s="45"/>
      <c r="V101" s="45"/>
      <c r="W101" s="45"/>
      <c r="X101" s="45"/>
      <c r="Y101" s="45"/>
      <c r="Z101" s="45"/>
      <c r="AA101" s="47"/>
      <c r="AB101" s="47"/>
      <c r="AC101" s="47"/>
      <c r="AD101" s="47"/>
      <c r="AE101" s="108" t="s">
        <v>366</v>
      </c>
      <c r="AF101" s="109"/>
      <c r="AG101" s="109"/>
    </row>
    <row r="102" spans="1:33" hidden="1" x14ac:dyDescent="0.15">
      <c r="A102" s="38"/>
      <c r="B102" s="38"/>
      <c r="C102" s="38"/>
      <c r="D102" s="38"/>
      <c r="E102" s="38"/>
      <c r="F102" s="38"/>
      <c r="G102" s="38" t="s">
        <v>440</v>
      </c>
      <c r="H102" s="39" t="s">
        <v>516</v>
      </c>
      <c r="I102" s="45"/>
      <c r="J102" s="45"/>
      <c r="K102" s="38" t="s">
        <v>517</v>
      </c>
      <c r="L102" s="45"/>
      <c r="M102" s="45"/>
      <c r="N102" s="45"/>
      <c r="O102" s="45"/>
      <c r="P102" s="45"/>
      <c r="Q102" s="45"/>
      <c r="R102" s="45"/>
      <c r="S102" s="45"/>
      <c r="T102" s="45"/>
      <c r="U102" s="45"/>
      <c r="V102" s="45"/>
      <c r="W102" s="45"/>
      <c r="X102" s="45"/>
      <c r="Y102" s="45"/>
      <c r="Z102" s="45"/>
      <c r="AA102" s="47"/>
      <c r="AB102" s="47"/>
      <c r="AC102" s="47"/>
      <c r="AD102" s="47"/>
      <c r="AE102" s="108" t="s">
        <v>367</v>
      </c>
      <c r="AF102" s="109"/>
      <c r="AG102" s="109"/>
    </row>
    <row r="103" spans="1:33" hidden="1" x14ac:dyDescent="0.15">
      <c r="A103" s="38"/>
      <c r="B103" s="38"/>
      <c r="C103" s="38"/>
      <c r="D103" s="38"/>
      <c r="E103" s="38"/>
      <c r="F103" s="38"/>
      <c r="G103" s="38" t="s">
        <v>441</v>
      </c>
      <c r="H103" s="38" t="s">
        <v>518</v>
      </c>
      <c r="I103" s="45"/>
      <c r="J103" s="45"/>
      <c r="K103" s="38" t="s">
        <v>519</v>
      </c>
      <c r="L103" s="45"/>
      <c r="M103" s="45"/>
      <c r="N103" s="45"/>
      <c r="O103" s="45"/>
      <c r="P103" s="45"/>
      <c r="Q103" s="45"/>
      <c r="R103" s="45"/>
      <c r="S103" s="45"/>
      <c r="T103" s="45"/>
      <c r="U103" s="45"/>
      <c r="V103" s="45"/>
      <c r="W103" s="45"/>
      <c r="X103" s="45"/>
      <c r="Y103" s="45"/>
      <c r="Z103" s="45"/>
      <c r="AA103" s="47"/>
      <c r="AB103" s="47"/>
      <c r="AC103" s="47"/>
      <c r="AD103" s="47"/>
      <c r="AE103" s="108" t="s">
        <v>368</v>
      </c>
      <c r="AF103" s="109"/>
      <c r="AG103" s="109"/>
    </row>
    <row r="104" spans="1:33" hidden="1" x14ac:dyDescent="0.15">
      <c r="A104" s="38"/>
      <c r="B104" s="38"/>
      <c r="C104" s="38"/>
      <c r="D104" s="38"/>
      <c r="E104" s="38"/>
      <c r="F104" s="38"/>
      <c r="G104" s="38" t="s">
        <v>442</v>
      </c>
      <c r="H104" s="38" t="s">
        <v>443</v>
      </c>
      <c r="I104" s="45"/>
      <c r="J104" s="45"/>
      <c r="K104" s="109"/>
      <c r="L104" s="45"/>
      <c r="M104" s="45"/>
      <c r="N104" s="45"/>
      <c r="O104" s="45"/>
      <c r="P104" s="45"/>
      <c r="Q104" s="45"/>
      <c r="R104" s="45"/>
      <c r="S104" s="45"/>
      <c r="T104" s="45"/>
      <c r="U104" s="45"/>
      <c r="V104" s="45"/>
      <c r="W104" s="45"/>
      <c r="X104" s="45"/>
      <c r="Y104" s="45"/>
      <c r="Z104" s="45"/>
      <c r="AA104" s="47"/>
      <c r="AB104" s="47"/>
      <c r="AC104" s="47"/>
      <c r="AD104" s="47"/>
      <c r="AE104" s="108" t="s">
        <v>369</v>
      </c>
      <c r="AF104" s="109"/>
      <c r="AG104" s="109"/>
    </row>
    <row r="105" spans="1:33" hidden="1" x14ac:dyDescent="0.15">
      <c r="A105" s="38"/>
      <c r="B105" s="38"/>
      <c r="C105" s="38"/>
      <c r="D105" s="38"/>
      <c r="E105" s="38"/>
      <c r="F105" s="38"/>
      <c r="G105" s="38" t="s">
        <v>444</v>
      </c>
      <c r="H105" s="38" t="s">
        <v>520</v>
      </c>
      <c r="I105" s="45"/>
      <c r="J105" s="45"/>
      <c r="K105" s="109"/>
      <c r="L105" s="45"/>
      <c r="M105" s="45"/>
      <c r="N105" s="45"/>
      <c r="O105" s="45"/>
      <c r="P105" s="45"/>
      <c r="Q105" s="45"/>
      <c r="R105" s="45"/>
      <c r="S105" s="45"/>
      <c r="T105" s="45"/>
      <c r="U105" s="45"/>
      <c r="V105" s="45"/>
      <c r="W105" s="45"/>
      <c r="X105" s="45"/>
      <c r="Y105" s="45"/>
      <c r="Z105" s="45"/>
      <c r="AA105" s="47"/>
      <c r="AB105" s="47"/>
      <c r="AC105" s="47"/>
      <c r="AD105" s="47"/>
      <c r="AE105" s="108" t="s">
        <v>370</v>
      </c>
      <c r="AF105" s="109"/>
      <c r="AG105" s="109"/>
    </row>
    <row r="106" spans="1:33" hidden="1" x14ac:dyDescent="0.15">
      <c r="A106" s="38"/>
      <c r="B106" s="38"/>
      <c r="C106" s="38"/>
      <c r="D106" s="38"/>
      <c r="E106" s="38"/>
      <c r="F106" s="38"/>
      <c r="G106" s="38" t="s">
        <v>521</v>
      </c>
      <c r="H106" s="38" t="s">
        <v>522</v>
      </c>
      <c r="I106" s="45"/>
      <c r="J106" s="45"/>
      <c r="K106" s="109"/>
      <c r="L106" s="45"/>
      <c r="M106" s="45"/>
      <c r="N106" s="45"/>
      <c r="O106" s="45"/>
      <c r="P106" s="45"/>
      <c r="Q106" s="45"/>
      <c r="R106" s="45"/>
      <c r="S106" s="45"/>
      <c r="T106" s="45"/>
      <c r="U106" s="45"/>
      <c r="V106" s="45"/>
      <c r="W106" s="45"/>
      <c r="X106" s="45"/>
      <c r="Y106" s="45"/>
      <c r="Z106" s="45"/>
      <c r="AA106" s="47"/>
      <c r="AB106" s="47"/>
      <c r="AC106" s="47"/>
      <c r="AD106" s="47"/>
      <c r="AE106" s="110" t="s">
        <v>371</v>
      </c>
      <c r="AF106" s="109"/>
      <c r="AG106" s="109"/>
    </row>
    <row r="107" spans="1:33" hidden="1" x14ac:dyDescent="0.15">
      <c r="A107" s="38"/>
      <c r="B107" s="38"/>
      <c r="C107" s="38"/>
      <c r="D107" s="38"/>
      <c r="E107" s="38"/>
      <c r="F107" s="38"/>
      <c r="G107" s="38" t="s">
        <v>523</v>
      </c>
      <c r="H107" s="38" t="s">
        <v>307</v>
      </c>
      <c r="I107" s="45"/>
      <c r="J107" s="45"/>
      <c r="K107" s="109"/>
      <c r="L107" s="45"/>
      <c r="M107" s="45"/>
      <c r="N107" s="45"/>
      <c r="O107" s="45"/>
      <c r="P107" s="45"/>
      <c r="Q107" s="45"/>
      <c r="R107" s="45"/>
      <c r="S107" s="45"/>
      <c r="T107" s="45"/>
      <c r="U107" s="45"/>
      <c r="V107" s="45"/>
      <c r="W107" s="45"/>
      <c r="X107" s="45"/>
      <c r="Y107" s="45"/>
      <c r="Z107" s="45"/>
      <c r="AA107" s="47"/>
      <c r="AB107" s="47"/>
      <c r="AC107" s="47"/>
      <c r="AD107" s="47"/>
      <c r="AE107" s="110" t="s">
        <v>372</v>
      </c>
      <c r="AF107" s="109"/>
      <c r="AG107" s="109"/>
    </row>
    <row r="108" spans="1:33" hidden="1" x14ac:dyDescent="0.15">
      <c r="A108" s="38"/>
      <c r="B108" s="38"/>
      <c r="C108" s="38"/>
      <c r="D108" s="38"/>
      <c r="E108" s="38"/>
      <c r="F108" s="38"/>
      <c r="G108" s="38" t="s">
        <v>524</v>
      </c>
      <c r="H108" s="38" t="s">
        <v>525</v>
      </c>
      <c r="I108" s="45"/>
      <c r="J108" s="45"/>
      <c r="K108" s="109"/>
      <c r="L108" s="45"/>
      <c r="M108" s="45"/>
      <c r="N108" s="45"/>
      <c r="O108" s="45"/>
      <c r="P108" s="45"/>
      <c r="Q108" s="45"/>
      <c r="R108" s="45"/>
      <c r="S108" s="45"/>
      <c r="T108" s="45"/>
      <c r="U108" s="45"/>
      <c r="V108" s="45"/>
      <c r="W108" s="45"/>
      <c r="X108" s="45"/>
      <c r="Y108" s="45"/>
      <c r="Z108" s="45"/>
      <c r="AA108" s="47"/>
      <c r="AB108" s="47"/>
      <c r="AC108" s="47"/>
      <c r="AD108" s="47"/>
      <c r="AE108" s="108" t="s">
        <v>373</v>
      </c>
      <c r="AF108" s="109"/>
      <c r="AG108" s="109"/>
    </row>
    <row r="109" spans="1:33" hidden="1" x14ac:dyDescent="0.15">
      <c r="A109" s="38"/>
      <c r="B109" s="38"/>
      <c r="C109" s="38"/>
      <c r="D109" s="38"/>
      <c r="E109" s="38"/>
      <c r="F109" s="38"/>
      <c r="G109" s="38" t="s">
        <v>526</v>
      </c>
      <c r="H109" s="38" t="s">
        <v>527</v>
      </c>
      <c r="I109" s="45"/>
      <c r="J109" s="45"/>
      <c r="K109" s="109"/>
      <c r="L109" s="45"/>
      <c r="M109" s="45"/>
      <c r="N109" s="45"/>
      <c r="O109" s="45"/>
      <c r="P109" s="45"/>
      <c r="Q109" s="45"/>
      <c r="R109" s="45"/>
      <c r="S109" s="45"/>
      <c r="T109" s="45"/>
      <c r="U109" s="45"/>
      <c r="V109" s="45"/>
      <c r="W109" s="45"/>
      <c r="X109" s="45"/>
      <c r="Y109" s="45"/>
      <c r="Z109" s="45"/>
      <c r="AA109" s="47"/>
      <c r="AB109" s="47"/>
      <c r="AC109" s="47"/>
      <c r="AD109" s="47"/>
      <c r="AE109" s="108" t="s">
        <v>374</v>
      </c>
      <c r="AF109" s="125"/>
      <c r="AG109" s="125"/>
    </row>
    <row r="110" spans="1:33" hidden="1" x14ac:dyDescent="0.15">
      <c r="A110" s="38"/>
      <c r="B110" s="38"/>
      <c r="C110" s="38"/>
      <c r="D110" s="38"/>
      <c r="E110" s="38"/>
      <c r="F110" s="38"/>
      <c r="G110" s="38" t="s">
        <v>528</v>
      </c>
      <c r="H110" s="38" t="s">
        <v>529</v>
      </c>
      <c r="I110" s="45"/>
      <c r="J110" s="45"/>
      <c r="K110" s="109"/>
      <c r="L110" s="45"/>
      <c r="M110" s="45"/>
      <c r="N110" s="45"/>
      <c r="O110" s="45"/>
      <c r="P110" s="45"/>
      <c r="Q110" s="45"/>
      <c r="R110" s="45"/>
      <c r="S110" s="45"/>
      <c r="T110" s="45"/>
      <c r="U110" s="45"/>
      <c r="V110" s="45"/>
      <c r="W110" s="45"/>
      <c r="X110" s="45"/>
      <c r="Y110" s="45"/>
      <c r="Z110" s="45"/>
      <c r="AA110" s="47"/>
      <c r="AB110" s="47"/>
      <c r="AC110" s="47"/>
      <c r="AD110" s="47"/>
      <c r="AE110" s="108" t="s">
        <v>375</v>
      </c>
      <c r="AF110" s="125"/>
      <c r="AG110" s="125"/>
    </row>
    <row r="111" spans="1:33" hidden="1" x14ac:dyDescent="0.15">
      <c r="A111" s="38"/>
      <c r="B111" s="38"/>
      <c r="C111" s="38"/>
      <c r="D111" s="38"/>
      <c r="E111" s="38"/>
      <c r="F111" s="38"/>
      <c r="G111" s="38" t="s">
        <v>530</v>
      </c>
      <c r="H111" s="38" t="s">
        <v>531</v>
      </c>
      <c r="I111" s="45"/>
      <c r="J111" s="45"/>
      <c r="K111" s="109"/>
      <c r="L111" s="45"/>
      <c r="M111" s="45"/>
      <c r="N111" s="45"/>
      <c r="O111" s="45"/>
      <c r="P111" s="45"/>
      <c r="Q111" s="45"/>
      <c r="R111" s="45"/>
      <c r="S111" s="45"/>
      <c r="T111" s="45"/>
      <c r="U111" s="45"/>
      <c r="V111" s="45"/>
      <c r="W111" s="45"/>
      <c r="X111" s="45"/>
      <c r="Y111" s="45"/>
      <c r="Z111" s="45"/>
      <c r="AA111" s="47"/>
      <c r="AB111" s="47"/>
      <c r="AC111" s="47"/>
      <c r="AD111" s="47"/>
      <c r="AE111" s="108" t="s">
        <v>376</v>
      </c>
      <c r="AF111" s="125"/>
      <c r="AG111" s="125"/>
    </row>
    <row r="112" spans="1:33" hidden="1" x14ac:dyDescent="0.15">
      <c r="A112" s="38"/>
      <c r="B112" s="38"/>
      <c r="C112" s="38"/>
      <c r="D112" s="38"/>
      <c r="E112" s="38"/>
      <c r="F112" s="38"/>
      <c r="G112" s="38" t="s">
        <v>532</v>
      </c>
      <c r="H112" s="38" t="s">
        <v>533</v>
      </c>
      <c r="I112" s="45"/>
      <c r="J112" s="45"/>
      <c r="K112" s="109"/>
      <c r="L112" s="45"/>
      <c r="M112" s="45"/>
      <c r="N112" s="45"/>
      <c r="O112" s="45"/>
      <c r="P112" s="45"/>
      <c r="Q112" s="45"/>
      <c r="R112" s="45"/>
      <c r="S112" s="45"/>
      <c r="T112" s="45"/>
      <c r="U112" s="45"/>
      <c r="V112" s="45"/>
      <c r="W112" s="45"/>
      <c r="X112" s="45"/>
      <c r="Y112" s="45"/>
      <c r="Z112" s="45"/>
      <c r="AA112" s="47"/>
      <c r="AB112" s="47"/>
      <c r="AC112" s="47"/>
      <c r="AD112" s="47"/>
      <c r="AE112" s="108" t="s">
        <v>377</v>
      </c>
      <c r="AF112" s="125"/>
      <c r="AG112" s="125"/>
    </row>
    <row r="113" spans="1:33" hidden="1" x14ac:dyDescent="0.15">
      <c r="A113" s="38"/>
      <c r="B113" s="38"/>
      <c r="C113" s="38"/>
      <c r="D113" s="38"/>
      <c r="E113" s="38"/>
      <c r="F113" s="38"/>
      <c r="G113" s="38" t="s">
        <v>534</v>
      </c>
      <c r="H113" s="38" t="s">
        <v>535</v>
      </c>
      <c r="I113" s="45"/>
      <c r="J113" s="45"/>
      <c r="K113" s="109"/>
      <c r="L113" s="45"/>
      <c r="M113" s="45"/>
      <c r="N113" s="45"/>
      <c r="O113" s="45"/>
      <c r="P113" s="45"/>
      <c r="Q113" s="45"/>
      <c r="R113" s="45"/>
      <c r="S113" s="45"/>
      <c r="T113" s="45"/>
      <c r="U113" s="45"/>
      <c r="V113" s="45"/>
      <c r="W113" s="45"/>
      <c r="X113" s="45"/>
      <c r="Y113" s="45"/>
      <c r="Z113" s="45"/>
      <c r="AA113" s="47"/>
      <c r="AB113" s="47"/>
      <c r="AC113" s="47"/>
      <c r="AD113" s="47"/>
      <c r="AE113" s="108" t="s">
        <v>378</v>
      </c>
      <c r="AF113" s="125"/>
      <c r="AG113" s="125"/>
    </row>
    <row r="114" spans="1:33" hidden="1" x14ac:dyDescent="0.15">
      <c r="A114" s="38"/>
      <c r="B114" s="38"/>
      <c r="C114" s="38"/>
      <c r="D114" s="38"/>
      <c r="E114" s="38"/>
      <c r="F114" s="38"/>
      <c r="G114" s="38" t="s">
        <v>536</v>
      </c>
      <c r="H114" s="38" t="s">
        <v>537</v>
      </c>
      <c r="I114" s="45"/>
      <c r="J114" s="45"/>
      <c r="K114" s="109"/>
      <c r="L114" s="45"/>
      <c r="M114" s="45"/>
      <c r="N114" s="45"/>
      <c r="O114" s="45"/>
      <c r="P114" s="45"/>
      <c r="Q114" s="45"/>
      <c r="R114" s="45"/>
      <c r="S114" s="45"/>
      <c r="T114" s="45"/>
      <c r="U114" s="45"/>
      <c r="V114" s="45"/>
      <c r="W114" s="45"/>
      <c r="X114" s="45"/>
      <c r="Y114" s="45"/>
      <c r="Z114" s="45"/>
      <c r="AA114" s="47"/>
      <c r="AB114" s="47"/>
      <c r="AC114" s="47"/>
      <c r="AD114" s="47"/>
      <c r="AE114" s="108" t="s">
        <v>379</v>
      </c>
      <c r="AF114" s="125"/>
      <c r="AG114" s="125"/>
    </row>
    <row r="115" spans="1:33" hidden="1" x14ac:dyDescent="0.15">
      <c r="A115" s="38"/>
      <c r="B115" s="38"/>
      <c r="C115" s="38"/>
      <c r="D115" s="38"/>
      <c r="E115" s="38"/>
      <c r="F115" s="38"/>
      <c r="G115" s="38" t="s">
        <v>538</v>
      </c>
      <c r="H115" s="39" t="s">
        <v>539</v>
      </c>
      <c r="I115" s="45"/>
      <c r="J115" s="45"/>
      <c r="K115" s="109"/>
      <c r="L115" s="45"/>
      <c r="M115" s="45"/>
      <c r="N115" s="45"/>
      <c r="O115" s="45"/>
      <c r="P115" s="45"/>
      <c r="Q115" s="45"/>
      <c r="R115" s="45"/>
      <c r="S115" s="45"/>
      <c r="T115" s="45"/>
      <c r="U115" s="45"/>
      <c r="V115" s="45"/>
      <c r="W115" s="45"/>
      <c r="X115" s="45"/>
      <c r="Y115" s="45"/>
      <c r="Z115" s="45"/>
      <c r="AA115" s="47"/>
      <c r="AB115" s="47"/>
      <c r="AC115" s="47"/>
      <c r="AD115" s="47"/>
      <c r="AE115" s="108" t="s">
        <v>380</v>
      </c>
      <c r="AF115" s="125"/>
      <c r="AG115" s="125"/>
    </row>
    <row r="116" spans="1:33" hidden="1" x14ac:dyDescent="0.15">
      <c r="A116" s="38"/>
      <c r="B116" s="38"/>
      <c r="C116" s="38"/>
      <c r="D116" s="38"/>
      <c r="E116" s="38"/>
      <c r="F116" s="38"/>
      <c r="G116" s="38" t="s">
        <v>540</v>
      </c>
      <c r="H116" s="38" t="s">
        <v>541</v>
      </c>
      <c r="I116" s="45"/>
      <c r="J116" s="45"/>
      <c r="K116" s="109"/>
      <c r="L116" s="45"/>
      <c r="M116" s="45"/>
      <c r="N116" s="45"/>
      <c r="O116" s="45"/>
      <c r="P116" s="45"/>
      <c r="Q116" s="45"/>
      <c r="R116" s="45"/>
      <c r="S116" s="45"/>
      <c r="T116" s="45"/>
      <c r="U116" s="45"/>
      <c r="V116" s="45"/>
      <c r="W116" s="45"/>
      <c r="X116" s="45"/>
      <c r="Y116" s="45"/>
      <c r="Z116" s="45"/>
      <c r="AA116" s="47"/>
      <c r="AB116" s="47"/>
      <c r="AC116" s="47"/>
      <c r="AD116" s="47"/>
      <c r="AE116" s="108" t="s">
        <v>381</v>
      </c>
      <c r="AF116" s="125"/>
      <c r="AG116" s="125"/>
    </row>
    <row r="117" spans="1:33" hidden="1" x14ac:dyDescent="0.15">
      <c r="A117" s="38"/>
      <c r="B117" s="38"/>
      <c r="C117" s="38"/>
      <c r="D117" s="38"/>
      <c r="E117" s="38"/>
      <c r="F117" s="38"/>
      <c r="G117" s="38" t="s">
        <v>542</v>
      </c>
      <c r="H117" s="38" t="s">
        <v>543</v>
      </c>
      <c r="I117" s="45"/>
      <c r="J117" s="45"/>
      <c r="K117" s="109"/>
      <c r="L117" s="45"/>
      <c r="M117" s="45"/>
      <c r="N117" s="45"/>
      <c r="O117" s="45"/>
      <c r="P117" s="45"/>
      <c r="Q117" s="45"/>
      <c r="R117" s="45"/>
      <c r="S117" s="45"/>
      <c r="T117" s="45"/>
      <c r="U117" s="45"/>
      <c r="V117" s="45"/>
      <c r="W117" s="45"/>
      <c r="X117" s="45"/>
      <c r="Y117" s="45"/>
      <c r="Z117" s="45"/>
      <c r="AA117" s="47"/>
      <c r="AB117" s="47"/>
      <c r="AC117" s="47"/>
      <c r="AD117" s="47"/>
      <c r="AE117" s="108" t="s">
        <v>382</v>
      </c>
      <c r="AF117" s="125"/>
      <c r="AG117" s="125"/>
    </row>
    <row r="118" spans="1:33" hidden="1" x14ac:dyDescent="0.15">
      <c r="A118" s="38"/>
      <c r="B118" s="38"/>
      <c r="C118" s="38"/>
      <c r="D118" s="38"/>
      <c r="E118" s="38"/>
      <c r="F118" s="38"/>
      <c r="G118" s="38" t="s">
        <v>544</v>
      </c>
      <c r="H118" s="38" t="s">
        <v>545</v>
      </c>
      <c r="I118" s="45"/>
      <c r="J118" s="45"/>
      <c r="K118" s="109"/>
      <c r="L118" s="45"/>
      <c r="M118" s="45"/>
      <c r="N118" s="45"/>
      <c r="O118" s="45"/>
      <c r="P118" s="45"/>
      <c r="Q118" s="45"/>
      <c r="R118" s="45"/>
      <c r="S118" s="45"/>
      <c r="T118" s="45"/>
      <c r="U118" s="45"/>
      <c r="V118" s="45"/>
      <c r="W118" s="45"/>
      <c r="X118" s="45"/>
      <c r="Y118" s="45"/>
      <c r="Z118" s="45"/>
      <c r="AA118" s="47"/>
      <c r="AB118" s="47"/>
      <c r="AC118" s="47"/>
      <c r="AD118" s="47"/>
      <c r="AE118" s="108" t="s">
        <v>383</v>
      </c>
      <c r="AF118" s="125"/>
      <c r="AG118" s="125"/>
    </row>
    <row r="119" spans="1:33" hidden="1" x14ac:dyDescent="0.15">
      <c r="A119" s="38"/>
      <c r="B119" s="38"/>
      <c r="C119" s="38"/>
      <c r="D119" s="38"/>
      <c r="E119" s="38"/>
      <c r="F119" s="38"/>
      <c r="G119" s="38" t="s">
        <v>546</v>
      </c>
      <c r="H119" s="38" t="s">
        <v>547</v>
      </c>
      <c r="I119" s="45"/>
      <c r="J119" s="45"/>
      <c r="K119" s="109"/>
      <c r="L119" s="45"/>
      <c r="M119" s="45"/>
      <c r="N119" s="45"/>
      <c r="O119" s="45"/>
      <c r="P119" s="45"/>
      <c r="Q119" s="45"/>
      <c r="R119" s="45"/>
      <c r="S119" s="45"/>
      <c r="T119" s="45"/>
      <c r="U119" s="45"/>
      <c r="V119" s="45"/>
      <c r="W119" s="45"/>
      <c r="X119" s="45"/>
      <c r="Y119" s="45"/>
      <c r="Z119" s="45"/>
      <c r="AA119" s="47"/>
      <c r="AB119" s="47"/>
      <c r="AC119" s="47"/>
      <c r="AD119" s="47"/>
      <c r="AE119" s="108" t="s">
        <v>384</v>
      </c>
      <c r="AF119" s="125"/>
      <c r="AG119" s="125"/>
    </row>
    <row r="120" spans="1:33" hidden="1" x14ac:dyDescent="0.15">
      <c r="A120" s="38"/>
      <c r="B120" s="38"/>
      <c r="C120" s="38"/>
      <c r="D120" s="38"/>
      <c r="E120" s="38"/>
      <c r="F120" s="38"/>
      <c r="G120" s="38" t="s">
        <v>548</v>
      </c>
      <c r="H120" s="38" t="s">
        <v>549</v>
      </c>
      <c r="I120" s="45"/>
      <c r="J120" s="45"/>
      <c r="K120" s="109"/>
      <c r="L120" s="45"/>
      <c r="M120" s="45"/>
      <c r="N120" s="45"/>
      <c r="O120" s="45"/>
      <c r="P120" s="45"/>
      <c r="Q120" s="45"/>
      <c r="R120" s="45"/>
      <c r="S120" s="45"/>
      <c r="T120" s="45"/>
      <c r="U120" s="45"/>
      <c r="V120" s="45"/>
      <c r="W120" s="45"/>
      <c r="X120" s="45"/>
      <c r="Y120" s="45"/>
      <c r="Z120" s="45"/>
      <c r="AA120" s="47"/>
      <c r="AB120" s="47"/>
      <c r="AC120" s="47"/>
      <c r="AD120" s="47"/>
      <c r="AE120" s="108" t="s">
        <v>385</v>
      </c>
      <c r="AF120" s="125"/>
      <c r="AG120" s="125"/>
    </row>
    <row r="121" spans="1:33" hidden="1" x14ac:dyDescent="0.15">
      <c r="A121" s="38"/>
      <c r="B121" s="38"/>
      <c r="C121" s="38"/>
      <c r="D121" s="38"/>
      <c r="E121" s="38"/>
      <c r="F121" s="38"/>
      <c r="G121" s="109"/>
      <c r="H121" s="109"/>
      <c r="I121" s="45"/>
      <c r="J121" s="109"/>
      <c r="K121" s="109"/>
      <c r="L121" s="45"/>
      <c r="M121" s="45"/>
      <c r="N121" s="45"/>
      <c r="O121" s="45"/>
      <c r="P121" s="45"/>
      <c r="Q121" s="45"/>
      <c r="R121" s="45"/>
      <c r="S121" s="45"/>
      <c r="T121" s="45"/>
      <c r="U121" s="45"/>
      <c r="V121" s="45"/>
      <c r="W121" s="45"/>
      <c r="X121" s="45"/>
      <c r="Y121" s="45"/>
      <c r="Z121" s="45"/>
      <c r="AA121" s="47"/>
      <c r="AB121" s="47"/>
      <c r="AC121" s="47"/>
      <c r="AD121" s="47"/>
      <c r="AE121" s="108" t="s">
        <v>386</v>
      </c>
      <c r="AF121" s="125"/>
      <c r="AG121" s="125"/>
    </row>
    <row r="122" spans="1:33" hidden="1" x14ac:dyDescent="0.15">
      <c r="A122" s="81"/>
      <c r="B122" s="81"/>
      <c r="C122" s="81"/>
      <c r="D122" s="81"/>
      <c r="E122" s="81"/>
      <c r="F122" s="81"/>
      <c r="G122" s="109"/>
      <c r="H122" s="109"/>
      <c r="I122" s="109"/>
      <c r="J122" s="109"/>
      <c r="K122" s="109"/>
      <c r="L122" s="109"/>
      <c r="M122" s="109"/>
      <c r="N122" s="109"/>
      <c r="O122" s="109"/>
      <c r="P122" s="109"/>
      <c r="Q122" s="109"/>
      <c r="R122" s="109"/>
      <c r="S122" s="109"/>
      <c r="T122" s="109"/>
      <c r="U122" s="109"/>
      <c r="V122" s="109"/>
      <c r="W122" s="109"/>
      <c r="X122" s="109"/>
      <c r="Y122" s="109"/>
      <c r="Z122" s="126"/>
      <c r="AA122" s="126"/>
      <c r="AB122" s="126"/>
      <c r="AC122" s="126"/>
      <c r="AD122" s="126"/>
      <c r="AE122" s="108" t="s">
        <v>387</v>
      </c>
      <c r="AF122" s="125"/>
      <c r="AG122" s="125"/>
    </row>
    <row r="123" spans="1:33" hidden="1" x14ac:dyDescent="0.15">
      <c r="A123" s="81"/>
      <c r="B123" s="81"/>
      <c r="C123" s="81"/>
      <c r="D123" s="81"/>
      <c r="E123" s="81"/>
      <c r="F123" s="81"/>
      <c r="G123" s="109"/>
      <c r="H123" s="109"/>
      <c r="I123" s="109"/>
      <c r="J123" s="109"/>
      <c r="K123" s="109"/>
      <c r="L123" s="109"/>
      <c r="M123" s="109"/>
      <c r="N123" s="109"/>
      <c r="O123" s="109"/>
      <c r="P123" s="109"/>
      <c r="Q123" s="109"/>
      <c r="R123" s="109"/>
      <c r="S123" s="109"/>
      <c r="T123" s="109"/>
      <c r="U123" s="109"/>
      <c r="V123" s="109"/>
      <c r="W123" s="109"/>
      <c r="X123" s="109"/>
      <c r="Y123" s="109"/>
      <c r="Z123" s="126"/>
      <c r="AA123" s="126"/>
      <c r="AB123" s="126"/>
      <c r="AC123" s="126"/>
      <c r="AD123" s="126"/>
      <c r="AE123" s="108" t="s">
        <v>388</v>
      </c>
      <c r="AF123" s="125"/>
      <c r="AG123" s="125"/>
    </row>
    <row r="124" spans="1:33" hidden="1" x14ac:dyDescent="0.15">
      <c r="A124" s="81"/>
      <c r="B124" s="81"/>
      <c r="C124" s="81"/>
      <c r="D124" s="81"/>
      <c r="E124" s="81"/>
      <c r="F124" s="81"/>
      <c r="G124" s="109"/>
      <c r="H124" s="109"/>
      <c r="I124" s="109"/>
      <c r="J124" s="109"/>
      <c r="K124" s="109"/>
      <c r="L124" s="109"/>
      <c r="M124" s="109"/>
      <c r="N124" s="109"/>
      <c r="O124" s="109"/>
      <c r="P124" s="109"/>
      <c r="Q124" s="109"/>
      <c r="R124" s="109"/>
      <c r="S124" s="109"/>
      <c r="T124" s="109"/>
      <c r="U124" s="109"/>
      <c r="V124" s="109"/>
      <c r="W124" s="109"/>
      <c r="X124" s="109"/>
      <c r="Y124" s="109"/>
      <c r="Z124" s="126"/>
      <c r="AA124" s="126"/>
      <c r="AB124" s="126"/>
      <c r="AC124" s="126"/>
      <c r="AD124" s="126"/>
      <c r="AE124" s="108" t="s">
        <v>389</v>
      </c>
      <c r="AF124" s="125"/>
      <c r="AG124" s="125"/>
    </row>
    <row r="125" spans="1:33" hidden="1" x14ac:dyDescent="0.15">
      <c r="A125" s="81"/>
      <c r="B125" s="81"/>
      <c r="C125" s="81"/>
      <c r="D125" s="81"/>
      <c r="E125" s="81"/>
      <c r="F125" s="81"/>
      <c r="G125" s="109"/>
      <c r="H125" s="109"/>
      <c r="I125" s="109"/>
      <c r="J125" s="109"/>
      <c r="K125" s="109"/>
      <c r="L125" s="109"/>
      <c r="M125" s="109"/>
      <c r="N125" s="109"/>
      <c r="O125" s="109"/>
      <c r="P125" s="109"/>
      <c r="Q125" s="109"/>
      <c r="R125" s="109"/>
      <c r="S125" s="109"/>
      <c r="T125" s="109"/>
      <c r="U125" s="109"/>
      <c r="V125" s="109"/>
      <c r="W125" s="109"/>
      <c r="X125" s="109"/>
      <c r="Y125" s="109"/>
      <c r="Z125" s="126"/>
      <c r="AA125" s="126"/>
      <c r="AB125" s="126"/>
      <c r="AC125" s="126"/>
      <c r="AD125" s="126"/>
      <c r="AE125" s="108" t="s">
        <v>390</v>
      </c>
      <c r="AF125" s="125"/>
      <c r="AG125" s="125"/>
    </row>
    <row r="126" spans="1:33" hidden="1" x14ac:dyDescent="0.15">
      <c r="A126" s="81"/>
      <c r="B126" s="81"/>
      <c r="C126" s="81"/>
      <c r="D126" s="81"/>
      <c r="E126" s="81"/>
      <c r="F126" s="81"/>
      <c r="G126" s="109"/>
      <c r="H126" s="109"/>
      <c r="I126" s="109"/>
      <c r="J126" s="109"/>
      <c r="K126" s="109"/>
      <c r="L126" s="109"/>
      <c r="M126" s="109"/>
      <c r="N126" s="109"/>
      <c r="O126" s="109"/>
      <c r="P126" s="109"/>
      <c r="Q126" s="109"/>
      <c r="R126" s="109"/>
      <c r="S126" s="109"/>
      <c r="T126" s="109"/>
      <c r="U126" s="109"/>
      <c r="V126" s="109"/>
      <c r="W126" s="109"/>
      <c r="X126" s="109"/>
      <c r="Y126" s="109"/>
      <c r="Z126" s="126"/>
      <c r="AA126" s="126"/>
      <c r="AB126" s="126"/>
      <c r="AC126" s="126"/>
      <c r="AD126" s="126"/>
      <c r="AE126" s="108" t="s">
        <v>391</v>
      </c>
      <c r="AF126" s="125"/>
      <c r="AG126" s="125"/>
    </row>
    <row r="127" spans="1:33" hidden="1" x14ac:dyDescent="0.15">
      <c r="A127" s="81"/>
      <c r="B127" s="81"/>
      <c r="C127" s="81"/>
      <c r="D127" s="81"/>
      <c r="E127" s="81"/>
      <c r="F127" s="81"/>
      <c r="G127" s="109"/>
      <c r="H127" s="109"/>
      <c r="I127" s="109"/>
      <c r="J127" s="109"/>
      <c r="K127" s="109"/>
      <c r="L127" s="109"/>
      <c r="M127" s="109"/>
      <c r="N127" s="109"/>
      <c r="O127" s="109"/>
      <c r="P127" s="109"/>
      <c r="Q127" s="109"/>
      <c r="R127" s="109"/>
      <c r="S127" s="109"/>
      <c r="T127" s="109"/>
      <c r="U127" s="109"/>
      <c r="V127" s="109"/>
      <c r="W127" s="109"/>
      <c r="X127" s="109"/>
      <c r="Y127" s="109"/>
      <c r="Z127" s="126"/>
      <c r="AA127" s="126"/>
      <c r="AB127" s="126"/>
      <c r="AC127" s="126"/>
      <c r="AD127" s="126"/>
      <c r="AE127" s="108" t="s">
        <v>392</v>
      </c>
      <c r="AF127" s="125"/>
      <c r="AG127" s="125"/>
    </row>
    <row r="128" spans="1:33" hidden="1" x14ac:dyDescent="0.15">
      <c r="A128" s="81"/>
      <c r="B128" s="81"/>
      <c r="C128" s="81"/>
      <c r="D128" s="81"/>
      <c r="E128" s="81"/>
      <c r="F128" s="81"/>
      <c r="G128" s="109"/>
      <c r="H128" s="109"/>
      <c r="I128" s="109"/>
      <c r="J128" s="109"/>
      <c r="K128" s="109"/>
      <c r="L128" s="109"/>
      <c r="M128" s="109"/>
      <c r="N128" s="109"/>
      <c r="O128" s="109"/>
      <c r="P128" s="109"/>
      <c r="Q128" s="109"/>
      <c r="R128" s="109"/>
      <c r="S128" s="109"/>
      <c r="T128" s="109"/>
      <c r="U128" s="109"/>
      <c r="V128" s="109"/>
      <c r="W128" s="109"/>
      <c r="X128" s="109"/>
      <c r="Y128" s="109"/>
      <c r="Z128" s="126"/>
      <c r="AA128" s="126"/>
      <c r="AB128" s="126"/>
      <c r="AC128" s="126"/>
      <c r="AD128" s="126"/>
      <c r="AE128" s="108" t="s">
        <v>393</v>
      </c>
      <c r="AF128" s="125"/>
      <c r="AG128" s="125"/>
    </row>
    <row r="129" spans="1:33" hidden="1" x14ac:dyDescent="0.15">
      <c r="A129" s="81"/>
      <c r="B129" s="81"/>
      <c r="C129" s="81"/>
      <c r="D129" s="81"/>
      <c r="E129" s="81"/>
      <c r="F129" s="81"/>
      <c r="G129" s="109"/>
      <c r="H129" s="109"/>
      <c r="I129" s="109"/>
      <c r="J129" s="109"/>
      <c r="K129" s="109"/>
      <c r="L129" s="109"/>
      <c r="M129" s="109"/>
      <c r="N129" s="109"/>
      <c r="O129" s="109"/>
      <c r="P129" s="109"/>
      <c r="Q129" s="109"/>
      <c r="R129" s="109"/>
      <c r="S129" s="109"/>
      <c r="T129" s="109"/>
      <c r="U129" s="109"/>
      <c r="V129" s="109"/>
      <c r="W129" s="109"/>
      <c r="X129" s="109"/>
      <c r="Y129" s="109"/>
      <c r="Z129" s="126"/>
      <c r="AA129" s="126"/>
      <c r="AB129" s="126"/>
      <c r="AC129" s="126"/>
      <c r="AD129" s="126"/>
      <c r="AE129" s="108" t="s">
        <v>394</v>
      </c>
      <c r="AF129" s="125"/>
      <c r="AG129" s="125"/>
    </row>
    <row r="130" spans="1:33" hidden="1" x14ac:dyDescent="0.15">
      <c r="A130" s="81"/>
      <c r="B130" s="81"/>
      <c r="C130" s="81"/>
      <c r="D130" s="81"/>
      <c r="E130" s="81"/>
      <c r="F130" s="81"/>
      <c r="G130" s="109"/>
      <c r="H130" s="109"/>
      <c r="I130" s="109"/>
      <c r="J130" s="109"/>
      <c r="K130" s="109"/>
      <c r="L130" s="109"/>
      <c r="M130" s="109"/>
      <c r="N130" s="109"/>
      <c r="O130" s="109"/>
      <c r="P130" s="109"/>
      <c r="Q130" s="109"/>
      <c r="R130" s="109"/>
      <c r="S130" s="109"/>
      <c r="T130" s="109"/>
      <c r="U130" s="109"/>
      <c r="V130" s="109"/>
      <c r="W130" s="109"/>
      <c r="X130" s="109"/>
      <c r="Y130" s="109"/>
      <c r="Z130" s="126"/>
      <c r="AA130" s="126"/>
      <c r="AB130" s="126"/>
      <c r="AC130" s="126"/>
      <c r="AD130" s="126"/>
      <c r="AE130" s="108" t="s">
        <v>395</v>
      </c>
      <c r="AF130" s="125"/>
      <c r="AG130" s="125"/>
    </row>
    <row r="131" spans="1:33" hidden="1" x14ac:dyDescent="0.15">
      <c r="A131" s="81"/>
      <c r="B131" s="81"/>
      <c r="C131" s="81"/>
      <c r="D131" s="81"/>
      <c r="E131" s="81"/>
      <c r="F131" s="81"/>
      <c r="G131" s="109"/>
      <c r="H131" s="109"/>
      <c r="I131" s="109"/>
      <c r="J131" s="109"/>
      <c r="K131" s="109"/>
      <c r="L131" s="109"/>
      <c r="M131" s="109"/>
      <c r="N131" s="109"/>
      <c r="O131" s="109"/>
      <c r="P131" s="109"/>
      <c r="Q131" s="109"/>
      <c r="R131" s="109"/>
      <c r="S131" s="109"/>
      <c r="T131" s="109"/>
      <c r="U131" s="109"/>
      <c r="V131" s="109"/>
      <c r="W131" s="109"/>
      <c r="X131" s="109"/>
      <c r="Y131" s="109"/>
      <c r="Z131" s="126"/>
      <c r="AA131" s="126"/>
      <c r="AB131" s="126"/>
      <c r="AC131" s="126"/>
      <c r="AD131" s="126"/>
      <c r="AE131" s="108" t="s">
        <v>396</v>
      </c>
      <c r="AF131" s="125"/>
      <c r="AG131" s="125"/>
    </row>
    <row r="132" spans="1:33" hidden="1" x14ac:dyDescent="0.15">
      <c r="A132" s="81"/>
      <c r="B132" s="81"/>
      <c r="C132" s="81"/>
      <c r="D132" s="81"/>
      <c r="E132" s="81"/>
      <c r="F132" s="81"/>
      <c r="G132" s="109"/>
      <c r="H132" s="109"/>
      <c r="I132" s="109"/>
      <c r="J132" s="109"/>
      <c r="K132" s="109"/>
      <c r="L132" s="109"/>
      <c r="M132" s="109"/>
      <c r="N132" s="109"/>
      <c r="O132" s="109"/>
      <c r="P132" s="109"/>
      <c r="Q132" s="109"/>
      <c r="R132" s="109"/>
      <c r="S132" s="109"/>
      <c r="T132" s="109"/>
      <c r="U132" s="109"/>
      <c r="V132" s="109"/>
      <c r="W132" s="109"/>
      <c r="X132" s="109"/>
      <c r="Y132" s="109"/>
      <c r="Z132" s="126"/>
      <c r="AA132" s="126"/>
      <c r="AB132" s="126"/>
      <c r="AC132" s="126"/>
      <c r="AD132" s="126"/>
      <c r="AE132" s="108" t="s">
        <v>397</v>
      </c>
      <c r="AF132" s="125"/>
      <c r="AG132" s="125"/>
    </row>
    <row r="133" spans="1:33" hidden="1" x14ac:dyDescent="0.15">
      <c r="A133" s="81"/>
      <c r="B133" s="81"/>
      <c r="C133" s="81"/>
      <c r="D133" s="81"/>
      <c r="E133" s="81"/>
      <c r="F133" s="81"/>
      <c r="G133" s="109"/>
      <c r="H133" s="109"/>
      <c r="I133" s="109"/>
      <c r="J133" s="109"/>
      <c r="K133" s="109"/>
      <c r="L133" s="109"/>
      <c r="M133" s="109"/>
      <c r="N133" s="109"/>
      <c r="O133" s="109"/>
      <c r="P133" s="109"/>
      <c r="Q133" s="109"/>
      <c r="R133" s="109"/>
      <c r="S133" s="109"/>
      <c r="T133" s="109"/>
      <c r="U133" s="109"/>
      <c r="V133" s="109"/>
      <c r="W133" s="109"/>
      <c r="X133" s="109"/>
      <c r="Y133" s="109"/>
      <c r="Z133" s="126"/>
      <c r="AA133" s="126"/>
      <c r="AB133" s="126"/>
      <c r="AC133" s="126"/>
      <c r="AD133" s="126"/>
      <c r="AF133" s="125"/>
      <c r="AG133" s="125"/>
    </row>
    <row r="134" spans="1:33" hidden="1" x14ac:dyDescent="0.15">
      <c r="A134" s="81"/>
      <c r="B134" s="81"/>
      <c r="C134" s="81"/>
      <c r="D134" s="81"/>
      <c r="E134" s="81"/>
      <c r="F134" s="81"/>
      <c r="G134" s="109"/>
      <c r="H134" s="109"/>
      <c r="I134" s="109"/>
      <c r="J134" s="109"/>
      <c r="K134" s="109"/>
      <c r="L134" s="109"/>
      <c r="M134" s="109"/>
      <c r="N134" s="109"/>
      <c r="O134" s="109"/>
      <c r="P134" s="109"/>
      <c r="Q134" s="109"/>
      <c r="R134" s="109"/>
      <c r="S134" s="109"/>
      <c r="T134" s="109"/>
      <c r="U134" s="109"/>
      <c r="V134" s="109"/>
      <c r="W134" s="109"/>
      <c r="X134" s="109"/>
      <c r="Y134" s="109"/>
      <c r="Z134" s="126"/>
      <c r="AA134" s="126"/>
      <c r="AB134" s="126"/>
      <c r="AC134" s="126"/>
      <c r="AD134" s="126"/>
      <c r="AE134" s="45"/>
      <c r="AF134" s="125"/>
      <c r="AG134" s="125"/>
    </row>
    <row r="135" spans="1:33" hidden="1" x14ac:dyDescent="0.15">
      <c r="A135" s="81"/>
      <c r="B135" s="81"/>
      <c r="C135" s="81"/>
      <c r="D135" s="81"/>
      <c r="E135" s="81"/>
      <c r="F135" s="81"/>
      <c r="G135" s="109"/>
      <c r="H135" s="109"/>
      <c r="I135" s="109"/>
      <c r="J135" s="109"/>
      <c r="K135" s="109"/>
      <c r="L135" s="109"/>
      <c r="M135" s="109"/>
      <c r="N135" s="109"/>
      <c r="O135" s="109"/>
      <c r="P135" s="109"/>
      <c r="Q135" s="109"/>
      <c r="R135" s="109"/>
      <c r="S135" s="109"/>
      <c r="T135" s="109"/>
      <c r="U135" s="109"/>
      <c r="V135" s="109"/>
      <c r="W135" s="109"/>
      <c r="X135" s="109"/>
      <c r="Y135" s="109"/>
      <c r="Z135" s="126"/>
      <c r="AA135" s="126"/>
      <c r="AB135" s="126"/>
      <c r="AC135" s="126"/>
      <c r="AD135" s="126"/>
      <c r="AE135" s="45"/>
      <c r="AF135" s="125"/>
      <c r="AG135" s="125"/>
    </row>
    <row r="136" spans="1:33" hidden="1" x14ac:dyDescent="0.15">
      <c r="A136" s="81"/>
      <c r="B136" s="81"/>
      <c r="C136" s="81"/>
      <c r="D136" s="81"/>
      <c r="E136" s="81"/>
      <c r="F136" s="81"/>
      <c r="G136" s="109"/>
      <c r="H136" s="109"/>
      <c r="I136" s="109"/>
      <c r="J136" s="109"/>
      <c r="K136" s="109"/>
      <c r="L136" s="109"/>
      <c r="M136" s="109"/>
      <c r="N136" s="109"/>
      <c r="O136" s="109"/>
      <c r="P136" s="109"/>
      <c r="Q136" s="109"/>
      <c r="R136" s="109"/>
      <c r="S136" s="109"/>
      <c r="T136" s="109"/>
      <c r="U136" s="109"/>
      <c r="V136" s="109"/>
      <c r="W136" s="109"/>
      <c r="X136" s="109"/>
      <c r="Y136" s="109"/>
      <c r="Z136" s="126"/>
      <c r="AA136" s="126"/>
      <c r="AB136" s="126"/>
      <c r="AC136" s="126"/>
      <c r="AD136" s="126"/>
      <c r="AE136" s="45"/>
      <c r="AF136" s="125"/>
      <c r="AG136" s="125"/>
    </row>
    <row r="137" spans="1:33" hidden="1" x14ac:dyDescent="0.15">
      <c r="A137" s="81"/>
      <c r="B137" s="81"/>
      <c r="C137" s="81"/>
      <c r="D137" s="81"/>
      <c r="E137" s="81"/>
      <c r="F137" s="81"/>
      <c r="G137" s="109"/>
      <c r="H137" s="109"/>
      <c r="I137" s="109"/>
      <c r="J137" s="109"/>
      <c r="K137" s="109"/>
      <c r="L137" s="109"/>
      <c r="M137" s="109"/>
      <c r="N137" s="109"/>
      <c r="O137" s="109"/>
      <c r="P137" s="109"/>
      <c r="Q137" s="109"/>
      <c r="R137" s="109"/>
      <c r="S137" s="109"/>
      <c r="T137" s="109"/>
      <c r="U137" s="109"/>
      <c r="V137" s="109"/>
      <c r="W137" s="109"/>
      <c r="X137" s="109"/>
      <c r="Y137" s="109"/>
      <c r="Z137" s="126"/>
      <c r="AA137" s="126"/>
      <c r="AB137" s="126"/>
      <c r="AC137" s="126"/>
      <c r="AD137" s="126"/>
      <c r="AE137" s="45"/>
      <c r="AF137" s="125"/>
      <c r="AG137" s="125"/>
    </row>
    <row r="138" spans="1:33" hidden="1" x14ac:dyDescent="0.15">
      <c r="A138" s="81"/>
      <c r="B138" s="81"/>
      <c r="C138" s="81"/>
      <c r="D138" s="81"/>
      <c r="E138" s="81"/>
      <c r="F138" s="81"/>
      <c r="G138" s="109"/>
      <c r="H138" s="109"/>
      <c r="I138" s="109"/>
      <c r="J138" s="109"/>
      <c r="K138" s="109"/>
      <c r="L138" s="109"/>
      <c r="M138" s="109"/>
      <c r="N138" s="109"/>
      <c r="O138" s="109"/>
      <c r="P138" s="109"/>
      <c r="Q138" s="109"/>
      <c r="R138" s="109"/>
      <c r="S138" s="109"/>
      <c r="T138" s="109"/>
      <c r="U138" s="109"/>
      <c r="V138" s="109"/>
      <c r="W138" s="109"/>
      <c r="X138" s="109"/>
      <c r="Y138" s="109"/>
      <c r="Z138" s="126"/>
      <c r="AA138" s="126"/>
      <c r="AB138" s="126"/>
      <c r="AC138" s="126"/>
      <c r="AD138" s="126"/>
      <c r="AE138" s="45"/>
      <c r="AF138" s="125"/>
      <c r="AG138" s="125"/>
    </row>
    <row r="139" spans="1:33" hidden="1" x14ac:dyDescent="0.15">
      <c r="A139" s="81"/>
      <c r="B139" s="81"/>
      <c r="C139" s="81"/>
      <c r="D139" s="81"/>
      <c r="E139" s="81"/>
      <c r="F139" s="81"/>
      <c r="G139" s="109"/>
      <c r="H139" s="109"/>
      <c r="I139" s="109"/>
      <c r="J139" s="109"/>
      <c r="K139" s="109"/>
      <c r="L139" s="109"/>
      <c r="M139" s="109"/>
      <c r="N139" s="109"/>
      <c r="O139" s="109"/>
      <c r="P139" s="109"/>
      <c r="Q139" s="109"/>
      <c r="R139" s="109"/>
      <c r="S139" s="109"/>
      <c r="T139" s="109"/>
      <c r="U139" s="109"/>
      <c r="V139" s="109"/>
      <c r="W139" s="109"/>
      <c r="X139" s="109"/>
      <c r="Y139" s="109"/>
      <c r="Z139" s="126"/>
      <c r="AA139" s="126"/>
      <c r="AB139" s="126"/>
      <c r="AC139" s="126"/>
      <c r="AD139" s="126"/>
      <c r="AE139" s="45"/>
      <c r="AF139" s="125"/>
      <c r="AG139" s="125"/>
    </row>
    <row r="140" spans="1:33" hidden="1" x14ac:dyDescent="0.15">
      <c r="A140" s="81"/>
      <c r="B140" s="81"/>
      <c r="C140" s="81"/>
      <c r="D140" s="81"/>
      <c r="E140" s="81"/>
      <c r="F140" s="81"/>
      <c r="G140" s="109"/>
      <c r="H140" s="109"/>
      <c r="I140" s="109"/>
      <c r="J140" s="109"/>
      <c r="K140" s="109"/>
      <c r="L140" s="109"/>
      <c r="M140" s="109"/>
      <c r="N140" s="109"/>
      <c r="O140" s="109"/>
      <c r="P140" s="109"/>
      <c r="Q140" s="109"/>
      <c r="R140" s="109"/>
      <c r="S140" s="109"/>
      <c r="T140" s="109"/>
      <c r="U140" s="109"/>
      <c r="V140" s="109"/>
      <c r="W140" s="109"/>
      <c r="X140" s="109"/>
      <c r="Y140" s="109"/>
      <c r="Z140" s="126"/>
      <c r="AA140" s="126"/>
      <c r="AB140" s="126"/>
      <c r="AC140" s="126"/>
      <c r="AD140" s="126"/>
      <c r="AE140" s="45"/>
      <c r="AF140" s="125"/>
      <c r="AG140" s="125"/>
    </row>
    <row r="141" spans="1:33" hidden="1" x14ac:dyDescent="0.15">
      <c r="A141" s="81"/>
      <c r="B141" s="81"/>
      <c r="C141" s="81"/>
      <c r="D141" s="81"/>
      <c r="E141" s="81"/>
      <c r="F141" s="81"/>
      <c r="G141" s="109"/>
      <c r="H141" s="109"/>
      <c r="I141" s="109"/>
      <c r="J141" s="109"/>
      <c r="K141" s="109"/>
      <c r="L141" s="109"/>
      <c r="M141" s="109"/>
      <c r="N141" s="109"/>
      <c r="O141" s="109"/>
      <c r="P141" s="109"/>
      <c r="Q141" s="109"/>
      <c r="R141" s="109"/>
      <c r="S141" s="109"/>
      <c r="T141" s="109"/>
      <c r="U141" s="109"/>
      <c r="V141" s="109"/>
      <c r="W141" s="109"/>
      <c r="X141" s="109"/>
      <c r="Y141" s="109"/>
      <c r="Z141" s="126"/>
      <c r="AA141" s="126"/>
      <c r="AB141" s="126"/>
      <c r="AC141" s="126"/>
      <c r="AD141" s="126"/>
      <c r="AE141" s="45"/>
      <c r="AF141" s="125"/>
      <c r="AG141" s="125"/>
    </row>
    <row r="142" spans="1:33" hidden="1" x14ac:dyDescent="0.15">
      <c r="A142" s="81"/>
      <c r="B142" s="81"/>
      <c r="C142" s="81"/>
      <c r="D142" s="81"/>
      <c r="E142" s="81"/>
      <c r="F142" s="81"/>
      <c r="G142" s="109"/>
      <c r="H142" s="109"/>
      <c r="I142" s="109"/>
      <c r="J142" s="109"/>
      <c r="K142" s="109"/>
      <c r="L142" s="109"/>
      <c r="M142" s="109"/>
      <c r="N142" s="109"/>
      <c r="O142" s="109"/>
      <c r="P142" s="109"/>
      <c r="Q142" s="109"/>
      <c r="R142" s="109"/>
      <c r="S142" s="109"/>
      <c r="T142" s="109"/>
      <c r="U142" s="109"/>
      <c r="V142" s="109"/>
      <c r="W142" s="109"/>
      <c r="X142" s="109"/>
      <c r="Y142" s="109"/>
      <c r="Z142" s="126"/>
      <c r="AA142" s="126"/>
      <c r="AB142" s="126"/>
      <c r="AC142" s="126"/>
      <c r="AD142" s="126"/>
      <c r="AE142" s="45"/>
      <c r="AF142" s="125"/>
      <c r="AG142" s="125"/>
    </row>
    <row r="143" spans="1:33" hidden="1" x14ac:dyDescent="0.15">
      <c r="A143" s="80"/>
      <c r="B143" s="80"/>
      <c r="C143" s="80"/>
      <c r="D143" s="80"/>
      <c r="E143" s="80"/>
      <c r="F143" s="80"/>
      <c r="G143"/>
      <c r="H143"/>
      <c r="I143"/>
      <c r="J143"/>
      <c r="K143"/>
      <c r="L143"/>
    </row>
    <row r="144" spans="1:33" x14ac:dyDescent="0.15">
      <c r="A144" s="80"/>
      <c r="B144" s="80"/>
      <c r="C144" s="80"/>
      <c r="D144" s="80"/>
      <c r="E144" s="80"/>
      <c r="F144" s="80"/>
      <c r="G144"/>
      <c r="H144"/>
      <c r="I144"/>
      <c r="J144"/>
      <c r="K144"/>
      <c r="L144"/>
    </row>
    <row r="145" spans="1:12" x14ac:dyDescent="0.15">
      <c r="A145" s="80"/>
      <c r="B145" s="80"/>
      <c r="C145" s="80"/>
      <c r="D145" s="80"/>
      <c r="E145" s="80"/>
      <c r="F145" s="80"/>
      <c r="G145"/>
      <c r="H145"/>
      <c r="I145"/>
      <c r="J145"/>
      <c r="K145"/>
      <c r="L145"/>
    </row>
    <row r="146" spans="1:12" x14ac:dyDescent="0.15">
      <c r="A146" s="80"/>
      <c r="B146" s="80"/>
      <c r="C146" s="80"/>
      <c r="D146" s="80"/>
      <c r="E146" s="80"/>
      <c r="F146" s="80"/>
      <c r="G146"/>
      <c r="H146"/>
      <c r="I146"/>
      <c r="J146"/>
      <c r="K146"/>
      <c r="L146"/>
    </row>
    <row r="147" spans="1:12" x14ac:dyDescent="0.15">
      <c r="A147" s="80"/>
      <c r="B147" s="80"/>
      <c r="C147" s="80"/>
      <c r="D147" s="80"/>
      <c r="E147" s="80"/>
      <c r="F147" s="80"/>
      <c r="G147"/>
      <c r="H147"/>
      <c r="I147"/>
      <c r="J147"/>
      <c r="K147"/>
      <c r="L147"/>
    </row>
    <row r="148" spans="1:12" x14ac:dyDescent="0.15">
      <c r="A148" s="80"/>
      <c r="B148" s="80"/>
      <c r="C148" s="80"/>
      <c r="D148" s="80"/>
      <c r="E148" s="80"/>
      <c r="F148" s="80"/>
      <c r="G148"/>
      <c r="H148"/>
      <c r="I148"/>
      <c r="J148"/>
      <c r="K148"/>
      <c r="L148"/>
    </row>
    <row r="149" spans="1:12" x14ac:dyDescent="0.15">
      <c r="A149" s="80"/>
      <c r="B149" s="80"/>
      <c r="C149" s="80"/>
      <c r="D149" s="80"/>
      <c r="E149" s="80"/>
      <c r="F149" s="80"/>
      <c r="G149"/>
      <c r="H149"/>
      <c r="I149"/>
      <c r="J149"/>
      <c r="K149"/>
      <c r="L149"/>
    </row>
    <row r="150" spans="1:12" x14ac:dyDescent="0.15">
      <c r="A150" s="80"/>
      <c r="B150" s="80"/>
      <c r="C150" s="80"/>
      <c r="D150" s="80"/>
      <c r="E150" s="80"/>
      <c r="F150" s="80"/>
      <c r="G150"/>
      <c r="H150"/>
      <c r="I150"/>
      <c r="J150"/>
      <c r="K150"/>
      <c r="L150"/>
    </row>
    <row r="151" spans="1:12" x14ac:dyDescent="0.15">
      <c r="A151" s="80"/>
      <c r="B151" s="80"/>
      <c r="C151" s="80"/>
      <c r="D151" s="80"/>
      <c r="E151" s="80"/>
      <c r="F151" s="80"/>
      <c r="G151"/>
      <c r="H151"/>
      <c r="I151"/>
      <c r="J151"/>
      <c r="K151"/>
      <c r="L151"/>
    </row>
    <row r="152" spans="1:12" x14ac:dyDescent="0.15">
      <c r="A152" s="80"/>
      <c r="B152" s="80"/>
      <c r="C152" s="80"/>
      <c r="D152" s="80"/>
      <c r="E152" s="80"/>
      <c r="F152" s="80"/>
      <c r="G152"/>
      <c r="H152"/>
      <c r="I152"/>
      <c r="J152"/>
      <c r="K152"/>
      <c r="L152"/>
    </row>
    <row r="153" spans="1:12" x14ac:dyDescent="0.15">
      <c r="A153" s="80"/>
      <c r="B153" s="80"/>
      <c r="C153" s="80"/>
      <c r="D153" s="80"/>
      <c r="E153" s="80"/>
      <c r="F153" s="80"/>
      <c r="G153"/>
      <c r="H153"/>
      <c r="I153"/>
      <c r="J153"/>
      <c r="K153"/>
      <c r="L153"/>
    </row>
    <row r="154" spans="1:12" x14ac:dyDescent="0.15">
      <c r="A154" s="80"/>
      <c r="B154" s="80"/>
      <c r="C154" s="80"/>
      <c r="D154" s="80"/>
      <c r="E154" s="80"/>
      <c r="F154" s="80"/>
      <c r="G154"/>
      <c r="H154"/>
      <c r="I154"/>
      <c r="J154"/>
      <c r="K154"/>
      <c r="L154"/>
    </row>
    <row r="155" spans="1:12" x14ac:dyDescent="0.15">
      <c r="A155" s="80"/>
      <c r="B155" s="80"/>
      <c r="C155" s="80"/>
      <c r="D155" s="80"/>
      <c r="E155" s="80"/>
      <c r="F155" s="80"/>
      <c r="G155"/>
      <c r="H155"/>
      <c r="I155"/>
      <c r="J155"/>
      <c r="K155"/>
      <c r="L155"/>
    </row>
    <row r="156" spans="1:12" x14ac:dyDescent="0.15">
      <c r="A156" s="80"/>
      <c r="B156" s="80"/>
      <c r="C156" s="80"/>
      <c r="D156" s="80"/>
      <c r="E156" s="80"/>
      <c r="F156" s="80"/>
      <c r="G156"/>
      <c r="H156"/>
      <c r="I156"/>
      <c r="J156"/>
      <c r="K156"/>
      <c r="L156"/>
    </row>
    <row r="157" spans="1:12" x14ac:dyDescent="0.15">
      <c r="A157" s="80"/>
      <c r="B157" s="80"/>
      <c r="C157" s="80"/>
      <c r="D157" s="80"/>
      <c r="E157" s="80"/>
      <c r="F157" s="80"/>
      <c r="G157"/>
      <c r="H157"/>
      <c r="I157"/>
      <c r="J157"/>
      <c r="K157"/>
      <c r="L157"/>
    </row>
    <row r="158" spans="1:12" x14ac:dyDescent="0.15">
      <c r="A158" s="80"/>
      <c r="B158" s="80"/>
      <c r="C158" s="80"/>
      <c r="D158" s="80"/>
      <c r="E158" s="80"/>
      <c r="F158" s="80"/>
      <c r="G158"/>
      <c r="H158"/>
      <c r="I158"/>
      <c r="J158"/>
      <c r="K158"/>
      <c r="L158"/>
    </row>
    <row r="159" spans="1:12" x14ac:dyDescent="0.15">
      <c r="A159" s="80"/>
      <c r="B159" s="80"/>
      <c r="C159" s="80"/>
      <c r="D159" s="80"/>
      <c r="E159" s="80"/>
      <c r="F159" s="80"/>
      <c r="G159"/>
      <c r="H159"/>
      <c r="I159"/>
      <c r="J159"/>
      <c r="K159"/>
      <c r="L159"/>
    </row>
    <row r="160" spans="1:12" x14ac:dyDescent="0.15">
      <c r="A160" s="80"/>
      <c r="B160" s="80"/>
      <c r="C160" s="80"/>
      <c r="D160" s="80"/>
      <c r="E160" s="80"/>
      <c r="F160" s="80"/>
      <c r="G160"/>
      <c r="H160"/>
      <c r="I160"/>
      <c r="J160"/>
      <c r="K160"/>
      <c r="L160"/>
    </row>
    <row r="161" spans="1:12" x14ac:dyDescent="0.15">
      <c r="A161" s="80"/>
      <c r="B161" s="80"/>
      <c r="C161" s="80"/>
      <c r="D161" s="80"/>
      <c r="E161" s="80"/>
      <c r="F161" s="80"/>
      <c r="G161"/>
      <c r="H161"/>
      <c r="I161"/>
      <c r="J161"/>
      <c r="K161"/>
      <c r="L161"/>
    </row>
    <row r="162" spans="1:12" x14ac:dyDescent="0.15">
      <c r="A162" s="80"/>
      <c r="B162" s="80"/>
      <c r="C162" s="80"/>
      <c r="D162" s="80"/>
      <c r="E162" s="80"/>
      <c r="F162" s="80"/>
      <c r="G162"/>
      <c r="H162"/>
      <c r="I162"/>
      <c r="J162"/>
      <c r="K162"/>
      <c r="L162"/>
    </row>
    <row r="163" spans="1:12" x14ac:dyDescent="0.15">
      <c r="A163" s="80"/>
      <c r="B163" s="80"/>
      <c r="C163" s="80"/>
      <c r="D163" s="80"/>
      <c r="E163" s="80"/>
      <c r="F163" s="80"/>
      <c r="G163"/>
      <c r="H163"/>
      <c r="I163"/>
      <c r="J163"/>
      <c r="K163"/>
      <c r="L163"/>
    </row>
    <row r="164" spans="1:12" x14ac:dyDescent="0.15">
      <c r="A164" s="80"/>
      <c r="B164" s="80"/>
      <c r="C164" s="80"/>
      <c r="D164" s="80"/>
      <c r="E164" s="80"/>
      <c r="F164" s="80"/>
      <c r="G164"/>
      <c r="H164"/>
      <c r="I164"/>
      <c r="J164"/>
      <c r="K164"/>
      <c r="L164"/>
    </row>
    <row r="165" spans="1:12" x14ac:dyDescent="0.15">
      <c r="A165" s="80"/>
      <c r="B165" s="80"/>
      <c r="C165" s="80"/>
      <c r="D165" s="80"/>
      <c r="E165" s="80"/>
      <c r="F165" s="80"/>
      <c r="G165"/>
      <c r="H165"/>
      <c r="I165"/>
      <c r="J165"/>
      <c r="K165"/>
      <c r="L165"/>
    </row>
    <row r="166" spans="1:12" x14ac:dyDescent="0.15">
      <c r="A166" s="80"/>
      <c r="B166" s="80"/>
      <c r="C166" s="80"/>
      <c r="D166" s="80"/>
      <c r="E166" s="80"/>
      <c r="F166" s="80"/>
      <c r="G166"/>
      <c r="H166"/>
      <c r="I166"/>
      <c r="J166"/>
      <c r="K166"/>
      <c r="L166"/>
    </row>
    <row r="167" spans="1:12" x14ac:dyDescent="0.15">
      <c r="A167" s="80"/>
      <c r="B167" s="80"/>
      <c r="C167" s="80"/>
      <c r="D167" s="80"/>
      <c r="E167" s="80"/>
      <c r="F167" s="80"/>
      <c r="G167"/>
      <c r="H167"/>
      <c r="I167"/>
      <c r="J167"/>
      <c r="K167"/>
      <c r="L167"/>
    </row>
    <row r="168" spans="1:12" x14ac:dyDescent="0.15">
      <c r="A168" s="80"/>
      <c r="B168" s="80"/>
      <c r="C168" s="80"/>
      <c r="D168" s="80"/>
      <c r="E168" s="80"/>
      <c r="F168" s="80"/>
      <c r="G168"/>
      <c r="H168"/>
      <c r="I168"/>
      <c r="J168"/>
      <c r="K168"/>
      <c r="L168"/>
    </row>
    <row r="169" spans="1:12" x14ac:dyDescent="0.15">
      <c r="A169" s="80"/>
      <c r="B169" s="80"/>
      <c r="C169" s="80"/>
      <c r="D169" s="80"/>
      <c r="E169" s="80"/>
      <c r="F169" s="80"/>
      <c r="G169"/>
      <c r="H169"/>
      <c r="I169"/>
      <c r="J169"/>
      <c r="L169"/>
    </row>
    <row r="170" spans="1:12" x14ac:dyDescent="0.15">
      <c r="A170" s="80"/>
      <c r="B170" s="80"/>
      <c r="C170" s="80"/>
      <c r="D170" s="80"/>
      <c r="E170" s="80"/>
      <c r="F170" s="80"/>
      <c r="G170"/>
      <c r="H170"/>
      <c r="I170"/>
      <c r="J170"/>
      <c r="L170"/>
    </row>
    <row r="171" spans="1:12" x14ac:dyDescent="0.15">
      <c r="A171" s="80"/>
      <c r="B171" s="80"/>
      <c r="C171" s="80"/>
      <c r="D171" s="80"/>
      <c r="E171" s="80"/>
      <c r="F171" s="80"/>
      <c r="G171"/>
      <c r="H171"/>
      <c r="I171"/>
      <c r="J171"/>
      <c r="L171"/>
    </row>
    <row r="172" spans="1:12" x14ac:dyDescent="0.15">
      <c r="A172" s="80"/>
      <c r="B172" s="80"/>
      <c r="C172" s="80"/>
      <c r="D172" s="80"/>
      <c r="E172" s="80"/>
      <c r="F172" s="80"/>
      <c r="G172"/>
      <c r="H172"/>
      <c r="I172"/>
      <c r="J172"/>
      <c r="L172"/>
    </row>
    <row r="173" spans="1:12" x14ac:dyDescent="0.15">
      <c r="A173" s="80"/>
      <c r="B173" s="80"/>
      <c r="C173" s="80"/>
      <c r="D173" s="80"/>
      <c r="E173" s="80"/>
      <c r="F173" s="80"/>
      <c r="G173"/>
      <c r="H173"/>
      <c r="I173"/>
      <c r="J173"/>
      <c r="L173"/>
    </row>
  </sheetData>
  <mergeCells count="12">
    <mergeCell ref="R26:S26"/>
    <mergeCell ref="F8:G8"/>
    <mergeCell ref="J8:K8"/>
    <mergeCell ref="J9:K9"/>
    <mergeCell ref="J10:K10"/>
    <mergeCell ref="J11:K11"/>
    <mergeCell ref="J12:K12"/>
    <mergeCell ref="J13:K13"/>
    <mergeCell ref="R22:S22"/>
    <mergeCell ref="R23:S23"/>
    <mergeCell ref="R24:S24"/>
    <mergeCell ref="R25:S25"/>
  </mergeCells>
  <phoneticPr fontId="1"/>
  <conditionalFormatting sqref="B9 B11:B13 D13">
    <cfRule type="containsBlanks" dxfId="0" priority="1">
      <formula>LEN(TRIM(B9))=0</formula>
    </cfRule>
  </conditionalFormatting>
  <dataValidations count="11">
    <dataValidation type="list" allowBlank="1" showInputMessage="1" showErrorMessage="1" sqref="B39:B43 E39" xr:uid="{B391C148-AC43-40AE-96B7-873DEAAE0A47}">
      <formula1>$C$24:$C$35</formula1>
    </dataValidation>
    <dataValidation type="list" errorStyle="warning" allowBlank="1" showInputMessage="1" showErrorMessage="1" error="リスト選択以外のものを入力する場合は、『返送書類リスト』⒉ご準備頂きたい書類の『詳細』や『通数』をご自身で入力してください。" sqref="J9:J13" xr:uid="{DEEC1199-C3A4-42C1-BED8-81A285762EF7}">
      <formula1>$AC$72:$AC$95</formula1>
    </dataValidation>
    <dataValidation type="list" errorStyle="warning" allowBlank="1" showInputMessage="1" showErrorMessage="1" sqref="G9:G19" xr:uid="{AF63B899-3B9F-4DDD-AFA0-500F7012E6F2}">
      <formula1>$AA$72:$AA$100</formula1>
    </dataValidation>
    <dataValidation type="list" allowBlank="1" showInputMessage="1" showErrorMessage="1" sqref="D43" xr:uid="{34A5ACC1-8A25-4E65-8225-EEDA35267070}">
      <formula1>$N$72:$N$95</formula1>
    </dataValidation>
    <dataValidation type="list" allowBlank="1" showInputMessage="1" sqref="B49:B67" xr:uid="{61BA53FA-FFB1-463D-87B1-1A6AE208B466}">
      <formula1>$AE$72:$AE$136</formula1>
    </dataValidation>
    <dataValidation type="list" errorStyle="information" allowBlank="1" showInputMessage="1" showErrorMessage="1" sqref="E43" xr:uid="{330F3AFD-95FF-4133-9B1D-F3D37D1D619C}">
      <formula1>$G$72:$G$173</formula1>
    </dataValidation>
    <dataValidation type="list" allowBlank="1" showInputMessage="1" showErrorMessage="1" sqref="D13" xr:uid="{E2A776F3-56DE-4969-9B37-55A95F04183B}">
      <formula1>$G$72:$G$113</formula1>
    </dataValidation>
    <dataValidation type="list" allowBlank="1" showInputMessage="1" showErrorMessage="1" sqref="B13" xr:uid="{313EABF3-4460-41FE-81E5-E7EC1944489D}">
      <formula1>$G$72:$G$173</formula1>
    </dataValidation>
    <dataValidation type="list" errorStyle="information" allowBlank="1" showInputMessage="1" sqref="B24:B35" xr:uid="{75BE6C51-B51C-4DC7-9BE6-F7EF6F5D30B0}">
      <formula1>$L$72:$L$108</formula1>
    </dataValidation>
    <dataValidation type="list" allowBlank="1" showInputMessage="1" sqref="B11" xr:uid="{8907BAA8-3AF1-404A-B097-F98795E1321B}">
      <formula1>$A$72:$A$173</formula1>
    </dataValidation>
    <dataValidation type="list" allowBlank="1" showInputMessage="1" sqref="B12" xr:uid="{0E55F30B-2393-448C-8AD8-DF1DD928162C}">
      <formula1>$N$72:$N$95</formula1>
    </dataValidation>
  </dataValidations>
  <pageMargins left="0.7" right="0.7" top="0.75" bottom="0.75" header="0.3" footer="0.3"/>
  <pageSetup paperSize="9" scale="21"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8433" r:id="rId4" name="Check Box 1">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434" r:id="rId5" name="Check Box 2">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435" r:id="rId6" name="Check Box 3">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436" r:id="rId7" name="Check Box 4">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437" r:id="rId8" name="Check Box 5">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438" r:id="rId9" name="Check Box 6">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439" r:id="rId10" name="Check Box 7">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440" r:id="rId11" name="Check Box 8">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441" r:id="rId12" name="Check Box 9">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442" r:id="rId13" name="Check Box 10">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443" r:id="rId14" name="Check Box 11">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450" r:id="rId15" name="Check Box 18">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451" r:id="rId16" name="Check Box 19">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452" r:id="rId17" name="Check Box 20">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453" r:id="rId18" name="Check Box 21">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454" r:id="rId19" name="Check Box 22">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455" r:id="rId20" name="Check Box 23">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456" r:id="rId21" name="Check Box 24">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457" r:id="rId22" name="Check Box 25">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458" r:id="rId23" name="Check Box 26">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459" r:id="rId24" name="Check Box 27">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460" r:id="rId25" name="Check Box 28">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466" r:id="rId26" name="Check Box 34">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467" r:id="rId27" name="Check Box 35">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468" r:id="rId28" name="Check Box 36">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469" r:id="rId29" name="Check Box 37">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470" r:id="rId30" name="Check Box 38">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471" r:id="rId31" name="Check Box 39">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472" r:id="rId32" name="Check Box 40">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473" r:id="rId33" name="Check Box 41">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474" r:id="rId34" name="Check Box 42">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475" r:id="rId35" name="Check Box 43">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476" r:id="rId36" name="Check Box 44">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481" r:id="rId37" name="Check Box 49">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482" r:id="rId38" name="Check Box 50">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483" r:id="rId39" name="Check Box 51">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484" r:id="rId40" name="Check Box 52">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485" r:id="rId41" name="Check Box 53">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486" r:id="rId42" name="Check Box 54">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487" r:id="rId43" name="Check Box 55">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488" r:id="rId44" name="Check Box 56">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489" r:id="rId45" name="Check Box 57">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490" r:id="rId46" name="Check Box 58">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491" r:id="rId47" name="Check Box 59">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496" r:id="rId48" name="Check Box 64">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497" r:id="rId49" name="Check Box 65">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498" r:id="rId50" name="Check Box 66">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499" r:id="rId51" name="Check Box 67">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500" r:id="rId52" name="Check Box 68">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501" r:id="rId53" name="Check Box 69">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502" r:id="rId54" name="Check Box 70">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503" r:id="rId55" name="Check Box 71">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504" r:id="rId56" name="Check Box 72">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505" r:id="rId57" name="Check Box 73">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506" r:id="rId58" name="Check Box 74">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513" r:id="rId59" name="Check Box 81">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514" r:id="rId60" name="Check Box 82">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515" r:id="rId61" name="Check Box 83">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516" r:id="rId62" name="Check Box 84">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517" r:id="rId63" name="Check Box 85">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518" r:id="rId64" name="Check Box 86">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519" r:id="rId65" name="Check Box 87">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520" r:id="rId66" name="Check Box 88">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521" r:id="rId67" name="Check Box 89">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522" r:id="rId68" name="Check Box 90">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523" r:id="rId69" name="Check Box 91">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529" r:id="rId70" name="Check Box 97">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530" r:id="rId71" name="Check Box 98">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531" r:id="rId72" name="Check Box 99">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532" r:id="rId73" name="Check Box 100">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533" r:id="rId74" name="Check Box 101">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534" r:id="rId75" name="Check Box 102">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535" r:id="rId76" name="Check Box 103">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536" r:id="rId77" name="Check Box 104">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537" r:id="rId78" name="Check Box 105">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538" r:id="rId79" name="Check Box 106">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539" r:id="rId80" name="Check Box 107">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581" r:id="rId81" name="Check Box 149">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582" r:id="rId82" name="Check Box 150">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583" r:id="rId83" name="Check Box 151">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584" r:id="rId84" name="Check Box 152">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585" r:id="rId85" name="Check Box 153">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586" r:id="rId86" name="Check Box 154">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587" r:id="rId87" name="Check Box 155">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588" r:id="rId88" name="Check Box 156">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589" r:id="rId89" name="Check Box 157">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590" r:id="rId90" name="Check Box 158">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591" r:id="rId91" name="Check Box 159">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597" r:id="rId92" name="Check Box 165">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598" r:id="rId93" name="Check Box 166">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599" r:id="rId94" name="Check Box 167">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600" r:id="rId95" name="Check Box 168">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601" r:id="rId96" name="Check Box 169">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602" r:id="rId97" name="Check Box 170">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603" r:id="rId98" name="Check Box 171">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604" r:id="rId99" name="Check Box 172">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605" r:id="rId100" name="Check Box 173">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606" r:id="rId101" name="Check Box 174">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607" r:id="rId102" name="Check Box 175">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613" r:id="rId103" name="Check Box 181">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614" r:id="rId104" name="Check Box 182">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615" r:id="rId105" name="Check Box 183">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616" r:id="rId106" name="Check Box 184">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617" r:id="rId107" name="Check Box 185">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618" r:id="rId108" name="Check Box 186">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619" r:id="rId109" name="Check Box 187">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620" r:id="rId110" name="Check Box 188">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621" r:id="rId111" name="Check Box 189">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622" r:id="rId112" name="Check Box 190">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623" r:id="rId113" name="Check Box 191">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630" r:id="rId114" name="Check Box 198">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631" r:id="rId115" name="Check Box 199">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632" r:id="rId116" name="Check Box 200">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633" r:id="rId117" name="Check Box 201">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634" r:id="rId118" name="Check Box 202">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635" r:id="rId119" name="Check Box 203">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636" r:id="rId120" name="Check Box 204">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637" r:id="rId121" name="Check Box 205">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638" r:id="rId122" name="Check Box 206">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639" r:id="rId123" name="Check Box 207">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640" r:id="rId124" name="Check Box 208">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646" r:id="rId125" name="Check Box 214">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647" r:id="rId126" name="Check Box 215">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648" r:id="rId127" name="Check Box 216">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649" r:id="rId128" name="Check Box 217">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650" r:id="rId129" name="Check Box 218">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651" r:id="rId130" name="Check Box 219">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652" r:id="rId131" name="Check Box 220">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653" r:id="rId132" name="Check Box 221">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654" r:id="rId133" name="Check Box 222">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655" r:id="rId134" name="Check Box 223">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656" r:id="rId135" name="Check Box 224">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673" r:id="rId136" name="Check Box 241">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674" r:id="rId137" name="Check Box 242">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675" r:id="rId138" name="Check Box 243">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676" r:id="rId139" name="Check Box 244">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677" r:id="rId140" name="Check Box 245">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678" r:id="rId141" name="Check Box 246">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679" r:id="rId142" name="Check Box 247">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680" r:id="rId143" name="Check Box 248">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681" r:id="rId144" name="Check Box 249">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682" r:id="rId145" name="Check Box 250">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683" r:id="rId146" name="Check Box 251">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708" r:id="rId147" name="Button 276">
              <controlPr defaultSize="0" print="0" autoFill="0" autoPict="0" macro="[1]!検索窓作成">
                <anchor>
                  <from>
                    <xdr:col>9</xdr:col>
                    <xdr:colOff>390525</xdr:colOff>
                    <xdr:row>42</xdr:row>
                    <xdr:rowOff>123825</xdr:rowOff>
                  </from>
                  <to>
                    <xdr:col>9</xdr:col>
                    <xdr:colOff>1733550</xdr:colOff>
                    <xdr:row>44</xdr:row>
                    <xdr:rowOff>161925</xdr:rowOff>
                  </to>
                </anchor>
              </controlPr>
            </control>
          </mc:Choice>
        </mc:AlternateContent>
        <mc:AlternateContent xmlns:mc="http://schemas.openxmlformats.org/markup-compatibility/2006">
          <mc:Choice Requires="x14">
            <control shapeId="18757" r:id="rId148" name="Button 325">
              <controlPr defaultSize="0" print="0" autoFill="0" autoPict="0" macro="[1]!切貼">
                <anchor>
                  <from>
                    <xdr:col>9</xdr:col>
                    <xdr:colOff>390525</xdr:colOff>
                    <xdr:row>39</xdr:row>
                    <xdr:rowOff>85725</xdr:rowOff>
                  </from>
                  <to>
                    <xdr:col>10</xdr:col>
                    <xdr:colOff>0</xdr:colOff>
                    <xdr:row>41</xdr:row>
                    <xdr:rowOff>85725</xdr:rowOff>
                  </to>
                </anchor>
              </controlPr>
            </control>
          </mc:Choice>
        </mc:AlternateContent>
        <mc:AlternateContent xmlns:mc="http://schemas.openxmlformats.org/markup-compatibility/2006">
          <mc:Choice Requires="x14">
            <control shapeId="18763" r:id="rId149" name="Button 331">
              <controlPr defaultSize="0" print="0" autoFill="0" autoPict="0" macro="[1]!名寄帳申請書">
                <anchor>
                  <from>
                    <xdr:col>8</xdr:col>
                    <xdr:colOff>504825</xdr:colOff>
                    <xdr:row>42</xdr:row>
                    <xdr:rowOff>123825</xdr:rowOff>
                  </from>
                  <to>
                    <xdr:col>9</xdr:col>
                    <xdr:colOff>76200</xdr:colOff>
                    <xdr:row>44</xdr:row>
                    <xdr:rowOff>161925</xdr:rowOff>
                  </to>
                </anchor>
              </controlPr>
            </control>
          </mc:Choice>
        </mc:AlternateContent>
        <mc:AlternateContent xmlns:mc="http://schemas.openxmlformats.org/markup-compatibility/2006">
          <mc:Choice Requires="x14">
            <control shapeId="18766" r:id="rId150" name="Check Box 334">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767" r:id="rId151" name="Check Box 335">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768" r:id="rId152" name="Check Box 336">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769" r:id="rId153" name="Check Box 337">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770" r:id="rId154" name="Check Box 338">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771" r:id="rId155" name="Check Box 339">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772" r:id="rId156" name="Check Box 340">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773" r:id="rId157" name="Check Box 341">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774" r:id="rId158" name="Check Box 342">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775" r:id="rId159" name="Check Box 343">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776" r:id="rId160" name="Check Box 344">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777" r:id="rId161" name="Check Box 345">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778" r:id="rId162" name="Check Box 346">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779" r:id="rId163" name="Check Box 347">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780" r:id="rId164" name="Check Box 348">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781" r:id="rId165" name="Check Box 349">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782" r:id="rId166" name="Check Box 350">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783" r:id="rId167" name="Check Box 351">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784" r:id="rId168" name="Check Box 352">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785" r:id="rId169" name="Check Box 353">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786" r:id="rId170" name="Check Box 354">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787" r:id="rId171" name="Check Box 355">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788" r:id="rId172" name="Check Box 356">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789" r:id="rId173" name="Check Box 357">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790" r:id="rId174" name="Check Box 358">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791" r:id="rId175" name="Check Box 359">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792" r:id="rId176" name="Check Box 360">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793" r:id="rId177" name="Check Box 361">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794" r:id="rId178" name="Check Box 362">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795" r:id="rId179" name="Check Box 363">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796" r:id="rId180" name="Check Box 364">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797" r:id="rId181" name="Check Box 365">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798" r:id="rId182" name="Check Box 366">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799" r:id="rId183" name="Check Box 367">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800" r:id="rId184" name="Check Box 368">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801" r:id="rId185" name="Check Box 369">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802" r:id="rId186" name="Check Box 370">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803" r:id="rId187" name="Check Box 371">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804" r:id="rId188" name="Check Box 372">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805" r:id="rId189" name="Check Box 373">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806" r:id="rId190" name="Check Box 374">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807" r:id="rId191" name="Check Box 375">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808" r:id="rId192" name="Check Box 376">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809" r:id="rId193" name="Check Box 377">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810" r:id="rId194" name="Check Box 378">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811" r:id="rId195" name="Check Box 379">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812" r:id="rId196" name="Check Box 380">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813" r:id="rId197" name="Check Box 381">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814" r:id="rId198" name="Check Box 382">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815" r:id="rId199" name="Check Box 383">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816" r:id="rId200" name="Check Box 384">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817" r:id="rId201" name="Check Box 385">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818" r:id="rId202" name="Check Box 386">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819" r:id="rId203" name="Check Box 387">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820" r:id="rId204" name="Check Box 388">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821" r:id="rId205" name="Check Box 389">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822" r:id="rId206" name="Check Box 390">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823" r:id="rId207" name="Check Box 391">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824" r:id="rId208" name="Check Box 392">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825" r:id="rId209" name="Check Box 393">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826" r:id="rId210" name="Check Box 394">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827" r:id="rId211" name="Check Box 395">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828" r:id="rId212" name="Check Box 396">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829" r:id="rId213" name="Check Box 397">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830" r:id="rId214" name="Check Box 398">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831" r:id="rId215" name="Check Box 399">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832" r:id="rId216" name="Check Box 400">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833" r:id="rId217" name="Check Box 401">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834" r:id="rId218" name="Check Box 402">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835" r:id="rId219" name="Check Box 403">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836" r:id="rId220" name="Check Box 404">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837" r:id="rId221" name="Check Box 405">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838" r:id="rId222" name="Check Box 406">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839" r:id="rId223" name="Check Box 407">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840" r:id="rId224" name="Check Box 408">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841" r:id="rId225" name="Check Box 409">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842" r:id="rId226" name="Check Box 410">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843" r:id="rId227" name="Check Box 411">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844" r:id="rId228" name="Check Box 412">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845" r:id="rId229" name="Check Box 413">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846" r:id="rId230" name="Check Box 414">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847" r:id="rId231" name="Check Box 415">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848" r:id="rId232" name="Check Box 416">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849" r:id="rId233" name="Check Box 417">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850" r:id="rId234" name="Check Box 418">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851" r:id="rId235" name="Check Box 419">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852" r:id="rId236" name="Check Box 420">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853" r:id="rId237" name="Check Box 421">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854" r:id="rId238" name="Check Box 422">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855" r:id="rId239" name="Check Box 423">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856" r:id="rId240" name="Check Box 424">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857" r:id="rId241" name="Check Box 425">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858" r:id="rId242" name="Check Box 426">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859" r:id="rId243" name="Check Box 427">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860" r:id="rId244" name="Check Box 428">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861" r:id="rId245" name="Check Box 429">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862" r:id="rId246" name="Check Box 430">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863" r:id="rId247" name="Check Box 431">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864" r:id="rId248" name="Check Box 432">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865" r:id="rId249" name="Check Box 433">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866" r:id="rId250" name="Check Box 434">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867" r:id="rId251" name="Check Box 435">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868" r:id="rId252" name="Check Box 436">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869" r:id="rId253" name="Check Box 437">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870" r:id="rId254" name="Check Box 438">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871" r:id="rId255" name="Check Box 439">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872" r:id="rId256" name="Check Box 440">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873" r:id="rId257" name="Check Box 441">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874" r:id="rId258" name="Check Box 442">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875" r:id="rId259" name="Check Box 443">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876" r:id="rId260" name="Check Box 444">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877" r:id="rId261" name="Check Box 445">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878" r:id="rId262" name="Check Box 446">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879" r:id="rId263" name="Check Box 447">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880" r:id="rId264" name="Check Box 448">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881" r:id="rId265" name="Check Box 449">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882" r:id="rId266" name="Check Box 450">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883" r:id="rId267" name="Check Box 451">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884" r:id="rId268" name="Check Box 452">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885" r:id="rId269" name="Check Box 453">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886" r:id="rId270" name="Check Box 454">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887" r:id="rId271" name="Check Box 455">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888" r:id="rId272" name="Check Box 456">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889" r:id="rId273" name="Check Box 457">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890" r:id="rId274" name="Check Box 458">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891" r:id="rId275" name="Check Box 459">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892" r:id="rId276" name="Check Box 460">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893" r:id="rId277" name="Check Box 461">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894" r:id="rId278" name="Check Box 462">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895" r:id="rId279" name="Check Box 463">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896" r:id="rId280" name="Check Box 464">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897" r:id="rId281" name="Check Box 465">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898" r:id="rId282" name="Check Box 466">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899" r:id="rId283" name="Check Box 467">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900" r:id="rId284" name="Check Box 468">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901" r:id="rId285" name="Check Box 469">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902" r:id="rId286" name="Check Box 470">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903" r:id="rId287" name="Check Box 471">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904" r:id="rId288" name="Check Box 472">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905" r:id="rId289" name="Check Box 473">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906" r:id="rId290" name="Check Box 474">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907" r:id="rId291" name="Check Box 475">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908" r:id="rId292" name="Check Box 476">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909" r:id="rId293" name="Check Box 477">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910" r:id="rId294" name="Check Box 478">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911" r:id="rId295" name="Check Box 479">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912" r:id="rId296" name="Check Box 480">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913" r:id="rId297" name="Check Box 481">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914" r:id="rId298" name="Check Box 482">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915" r:id="rId299" name="Check Box 483">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916" r:id="rId300" name="Check Box 484">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917" r:id="rId301" name="Check Box 485">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918" r:id="rId302" name="Check Box 486">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919" r:id="rId303" name="Check Box 487">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925" r:id="rId304" name="Check Box 493">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926" r:id="rId305" name="Check Box 494">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927" r:id="rId306" name="Check Box 495">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928" r:id="rId307" name="Check Box 496">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929" r:id="rId308" name="Check Box 497">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930" r:id="rId309" name="Check Box 498">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931" r:id="rId310" name="Check Box 499">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932" r:id="rId311" name="Check Box 500">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933" r:id="rId312" name="Check Box 501">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934" r:id="rId313" name="Check Box 502">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935" r:id="rId314" name="Check Box 503">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941" r:id="rId315" name="Check Box 509">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942" r:id="rId316" name="Check Box 510">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943" r:id="rId317" name="Check Box 511">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944" r:id="rId318" name="Check Box 512">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945" r:id="rId319" name="Check Box 513">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946" r:id="rId320" name="Check Box 514">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947" r:id="rId321" name="Check Box 515">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948" r:id="rId322" name="Check Box 516">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949" r:id="rId323" name="Check Box 517">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950" r:id="rId324" name="Check Box 518">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951" r:id="rId325" name="Check Box 519">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952" r:id="rId326" name="Check Box 520">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953" r:id="rId327" name="Check Box 521">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954" r:id="rId328" name="Check Box 522">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955" r:id="rId329" name="Check Box 523">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956" r:id="rId330" name="Check Box 524">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957" r:id="rId331" name="Check Box 525">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958" r:id="rId332" name="Check Box 526">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959" r:id="rId333" name="Check Box 527">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960" r:id="rId334" name="Check Box 528">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961" r:id="rId335" name="Check Box 529">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962" r:id="rId336" name="Check Box 530">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963" r:id="rId337" name="Check Box 531">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964" r:id="rId338" name="Check Box 532">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965" r:id="rId339" name="Check Box 533">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966" r:id="rId340" name="Check Box 534">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967" r:id="rId341" name="Check Box 535">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968" r:id="rId342" name="Check Box 536">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969" r:id="rId343" name="Check Box 537">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970" r:id="rId344" name="Check Box 538">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971" r:id="rId345" name="Check Box 539">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972" r:id="rId346" name="Check Box 540">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973" r:id="rId347" name="Check Box 541">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974" r:id="rId348" name="Check Box 542">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975" r:id="rId349" name="Check Box 543">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976" r:id="rId350" name="Check Box 544">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977" r:id="rId351" name="Check Box 545">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978" r:id="rId352" name="Check Box 546">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979" r:id="rId353" name="Check Box 547">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980" r:id="rId354" name="Check Box 548">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981" r:id="rId355" name="Check Box 549">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982" r:id="rId356" name="Check Box 550">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983" r:id="rId357" name="Check Box 551">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984" r:id="rId358" name="Check Box 552">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985" r:id="rId359" name="Check Box 553">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986" r:id="rId360" name="Check Box 554">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987" r:id="rId361" name="Check Box 555">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988" r:id="rId362" name="Check Box 556">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8989" r:id="rId363" name="Check Box 557">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8990" r:id="rId364" name="Check Box 558">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8991" r:id="rId365" name="Check Box 559">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8992" r:id="rId366" name="Check Box 560">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8993" r:id="rId367" name="Check Box 561">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8994" r:id="rId368" name="Check Box 562">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8995" r:id="rId369" name="Check Box 563">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8996" r:id="rId370" name="Check Box 564">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8997" r:id="rId371" name="Check Box 565">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8998" r:id="rId372" name="Check Box 566">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8999" r:id="rId373" name="Check Box 567">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000" r:id="rId374" name="Check Box 568">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001" r:id="rId375" name="Check Box 569">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002" r:id="rId376" name="Check Box 570">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003" r:id="rId377" name="Check Box 571">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004" r:id="rId378" name="Check Box 572">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005" r:id="rId379" name="Check Box 573">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006" r:id="rId380" name="Check Box 574">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007" r:id="rId381" name="Check Box 575">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008" r:id="rId382" name="Check Box 576">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009" r:id="rId383" name="Check Box 577">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010" r:id="rId384" name="Check Box 578">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011" r:id="rId385" name="Check Box 579">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012" r:id="rId386" name="Check Box 580">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013" r:id="rId387" name="Check Box 581">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014" r:id="rId388" name="Check Box 582">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015" r:id="rId389" name="Check Box 583">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016" r:id="rId390" name="Check Box 584">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017" r:id="rId391" name="Check Box 585">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018" r:id="rId392" name="Check Box 586">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019" r:id="rId393" name="Check Box 587">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020" r:id="rId394" name="Check Box 588">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021" r:id="rId395" name="Check Box 589">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022" r:id="rId396" name="Check Box 590">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023" r:id="rId397" name="Check Box 591">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024" r:id="rId398" name="Check Box 592">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025" r:id="rId399" name="Check Box 593">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026" r:id="rId400" name="Check Box 594">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027" r:id="rId401" name="Check Box 595">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028" r:id="rId402" name="Check Box 596">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029" r:id="rId403" name="Check Box 597">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030" r:id="rId404" name="Check Box 598">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031" r:id="rId405" name="Check Box 599">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032" r:id="rId406" name="Check Box 600">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033" r:id="rId407" name="Check Box 601">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034" r:id="rId408" name="Check Box 602">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035" r:id="rId409" name="Check Box 603">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036" r:id="rId410" name="Check Box 604">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037" r:id="rId411" name="Check Box 605">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038" r:id="rId412" name="Check Box 606">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039" r:id="rId413" name="Check Box 607">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040" r:id="rId414" name="Check Box 608">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041" r:id="rId415" name="Check Box 609">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042" r:id="rId416" name="Check Box 610">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043" r:id="rId417" name="Check Box 611">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044" r:id="rId418" name="Check Box 612">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045" r:id="rId419" name="Check Box 613">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046" r:id="rId420" name="Check Box 614">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047" r:id="rId421" name="Check Box 615">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048" r:id="rId422" name="Check Box 616">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049" r:id="rId423" name="Check Box 617">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050" r:id="rId424" name="Check Box 618">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051" r:id="rId425" name="Check Box 619">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052" r:id="rId426" name="Check Box 620">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053" r:id="rId427" name="Check Box 621">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054" r:id="rId428" name="Check Box 622">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055" r:id="rId429" name="Check Box 623">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056" r:id="rId430" name="Check Box 624">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057" r:id="rId431" name="Check Box 625">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058" r:id="rId432" name="Check Box 626">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059" r:id="rId433" name="Check Box 627">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060" r:id="rId434" name="Check Box 628">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061" r:id="rId435" name="Check Box 629">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062" r:id="rId436" name="Check Box 630">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063" r:id="rId437" name="Check Box 631">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064" r:id="rId438" name="Check Box 632">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065" r:id="rId439" name="Check Box 633">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066" r:id="rId440" name="Check Box 634">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067" r:id="rId441" name="Check Box 635">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068" r:id="rId442" name="Check Box 636">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069" r:id="rId443" name="Check Box 637">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070" r:id="rId444" name="Check Box 638">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071" r:id="rId445" name="Check Box 639">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072" r:id="rId446" name="Check Box 640">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073" r:id="rId447" name="Check Box 641">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074" r:id="rId448" name="Check Box 642">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075" r:id="rId449" name="Check Box 643">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076" r:id="rId450" name="Check Box 644">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077" r:id="rId451" name="Check Box 645">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078" r:id="rId452" name="Check Box 646">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079" r:id="rId453" name="Check Box 647">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080" r:id="rId454" name="Check Box 648">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081" r:id="rId455" name="Check Box 649">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082" r:id="rId456" name="Check Box 650">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083" r:id="rId457" name="Check Box 651">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084" r:id="rId458" name="Check Box 652">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085" r:id="rId459" name="Check Box 653">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086" r:id="rId460" name="Check Box 654">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087" r:id="rId461" name="Check Box 655">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088" r:id="rId462" name="Check Box 656">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089" r:id="rId463" name="Check Box 657">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090" r:id="rId464" name="Check Box 658">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091" r:id="rId465" name="Check Box 659">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092" r:id="rId466" name="Check Box 660">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093" r:id="rId467" name="Check Box 661">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094" r:id="rId468" name="Check Box 662">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095" r:id="rId469" name="Check Box 663">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096" r:id="rId470" name="Check Box 664">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097" r:id="rId471" name="Check Box 665">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098" r:id="rId472" name="Check Box 666">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099" r:id="rId473" name="Check Box 667">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100" r:id="rId474" name="Check Box 668">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101" r:id="rId475" name="Check Box 669">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102" r:id="rId476" name="Check Box 670">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103" r:id="rId477" name="Check Box 671">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104" r:id="rId478" name="Check Box 672">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105" r:id="rId479" name="Check Box 673">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106" r:id="rId480" name="Check Box 674">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107" r:id="rId481" name="Check Box 675">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108" r:id="rId482" name="Check Box 676">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109" r:id="rId483" name="Check Box 677">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110" r:id="rId484" name="Check Box 678">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111" r:id="rId485" name="Check Box 679">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112" r:id="rId486" name="Check Box 680">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113" r:id="rId487" name="Check Box 681">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114" r:id="rId488" name="Check Box 682">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115" r:id="rId489" name="Check Box 683">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116" r:id="rId490" name="Check Box 684">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117" r:id="rId491" name="Check Box 685">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118" r:id="rId492" name="Check Box 686">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119" r:id="rId493" name="Check Box 687">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120" r:id="rId494" name="Check Box 688">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121" r:id="rId495" name="Check Box 689">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122" r:id="rId496" name="Check Box 690">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123" r:id="rId497" name="Check Box 691">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124" r:id="rId498" name="Check Box 692">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125" r:id="rId499" name="Check Box 693">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126" r:id="rId500" name="Check Box 694">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127" r:id="rId501" name="Check Box 695">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128" r:id="rId502" name="Check Box 696">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129" r:id="rId503" name="Check Box 697">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130" r:id="rId504" name="Check Box 698">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131" r:id="rId505" name="Check Box 699">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132" r:id="rId506" name="Check Box 700">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133" r:id="rId507" name="Check Box 701">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134" r:id="rId508" name="Check Box 702">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135" r:id="rId509" name="Check Box 703">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136" r:id="rId510" name="Check Box 704">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137" r:id="rId511" name="Check Box 705">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138" r:id="rId512" name="Check Box 706">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139" r:id="rId513" name="Check Box 707">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140" r:id="rId514" name="Check Box 708">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141" r:id="rId515" name="Check Box 709">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142" r:id="rId516" name="Check Box 710">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143" r:id="rId517" name="Check Box 711">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144" r:id="rId518" name="Check Box 712">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145" r:id="rId519" name="Check Box 713">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146" r:id="rId520" name="Check Box 714">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147" r:id="rId521" name="Check Box 715">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148" r:id="rId522" name="Check Box 716">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149" r:id="rId523" name="Check Box 717">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150" r:id="rId524" name="Check Box 718">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151" r:id="rId525" name="Check Box 719">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152" r:id="rId526" name="Check Box 720">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153" r:id="rId527" name="Check Box 721">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154" r:id="rId528" name="Check Box 722">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155" r:id="rId529" name="Check Box 723">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156" r:id="rId530" name="Check Box 724">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157" r:id="rId531" name="Check Box 725">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158" r:id="rId532" name="Check Box 726">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159" r:id="rId533" name="Check Box 727">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160" r:id="rId534" name="Check Box 728">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161" r:id="rId535" name="Check Box 729">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162" r:id="rId536" name="Check Box 730">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163" r:id="rId537" name="Check Box 731">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164" r:id="rId538" name="Check Box 732">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165" r:id="rId539" name="Check Box 733">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166" r:id="rId540" name="Check Box 734">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167" r:id="rId541" name="Check Box 735">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168" r:id="rId542" name="Check Box 736">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169" r:id="rId543" name="Check Box 737">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170" r:id="rId544" name="Check Box 738">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171" r:id="rId545" name="Check Box 739">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172" r:id="rId546" name="Check Box 740">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173" r:id="rId547" name="Check Box 741">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174" r:id="rId548" name="Check Box 742">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175" r:id="rId549" name="Check Box 743">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176" r:id="rId550" name="Check Box 744">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177" r:id="rId551" name="Check Box 745">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178" r:id="rId552" name="Check Box 746">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179" r:id="rId553" name="Check Box 747">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180" r:id="rId554" name="Check Box 748">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181" r:id="rId555" name="Check Box 749">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182" r:id="rId556" name="Check Box 750">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183" r:id="rId557" name="Check Box 751">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184" r:id="rId558" name="Check Box 752">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185" r:id="rId559" name="Check Box 753">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186" r:id="rId560" name="Check Box 754">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187" r:id="rId561" name="Check Box 755">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188" r:id="rId562" name="Check Box 756">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189" r:id="rId563" name="Check Box 757">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190" r:id="rId564" name="Check Box 758">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191" r:id="rId565" name="Check Box 759">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192" r:id="rId566" name="Check Box 760">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193" r:id="rId567" name="Check Box 761">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194" r:id="rId568" name="Check Box 762">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195" r:id="rId569" name="Check Box 763">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196" r:id="rId570" name="Check Box 764">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197" r:id="rId571" name="Check Box 765">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198" r:id="rId572" name="Check Box 766">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199" r:id="rId573" name="Check Box 767">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200" r:id="rId574" name="Check Box 768">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201" r:id="rId575" name="Check Box 769">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202" r:id="rId576" name="Check Box 770">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203" r:id="rId577" name="Check Box 771">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204" r:id="rId578" name="Check Box 772">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205" r:id="rId579" name="Check Box 773">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206" r:id="rId580" name="Check Box 774">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207" r:id="rId581" name="Check Box 775">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208" r:id="rId582" name="Check Box 776">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209" r:id="rId583" name="Check Box 777">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210" r:id="rId584" name="Check Box 778">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211" r:id="rId585" name="Check Box 779">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212" r:id="rId586" name="Check Box 780">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213" r:id="rId587" name="Check Box 781">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214" r:id="rId588" name="Check Box 782">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215" r:id="rId589" name="Check Box 783">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216" r:id="rId590" name="Check Box 784">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217" r:id="rId591" name="Check Box 785">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218" r:id="rId592" name="Check Box 786">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219" r:id="rId593" name="Check Box 787">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220" r:id="rId594" name="Check Box 788">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221" r:id="rId595" name="Check Box 789">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222" r:id="rId596" name="Check Box 790">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223" r:id="rId597" name="Check Box 791">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224" r:id="rId598" name="Check Box 792">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225" r:id="rId599" name="Check Box 793">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226" r:id="rId600" name="Check Box 794">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227" r:id="rId601" name="Check Box 795">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228" r:id="rId602" name="Check Box 796">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229" r:id="rId603" name="Check Box 797">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230" r:id="rId604" name="Check Box 798">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231" r:id="rId605" name="Check Box 799">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232" r:id="rId606" name="Check Box 800">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233" r:id="rId607" name="Check Box 801">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234" r:id="rId608" name="Check Box 802">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235" r:id="rId609" name="Check Box 803">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236" r:id="rId610" name="Check Box 804">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237" r:id="rId611" name="Check Box 805">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238" r:id="rId612" name="Check Box 806">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239" r:id="rId613" name="Check Box 807">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240" r:id="rId614" name="Check Box 808">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241" r:id="rId615" name="Check Box 809">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242" r:id="rId616" name="Check Box 810">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243" r:id="rId617" name="Check Box 811">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244" r:id="rId618" name="Check Box 812">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245" r:id="rId619" name="Check Box 813">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246" r:id="rId620" name="Check Box 814">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247" r:id="rId621" name="Check Box 815">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248" r:id="rId622" name="Check Box 816">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249" r:id="rId623" name="Check Box 817">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250" r:id="rId624" name="Check Box 818">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251" r:id="rId625" name="Check Box 819">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252" r:id="rId626" name="Check Box 820">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253" r:id="rId627" name="Check Box 821">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254" r:id="rId628" name="Check Box 822">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255" r:id="rId629" name="Check Box 823">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256" r:id="rId630" name="Check Box 824">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257" r:id="rId631" name="Check Box 825">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258" r:id="rId632" name="Check Box 826">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259" r:id="rId633" name="Check Box 827">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265" r:id="rId634" name="Check Box 833">
              <controlPr defaultSize="0" autoFill="0" autoLine="0" autoPict="0">
                <anchor moveWithCells="1">
                  <from>
                    <xdr:col>7</xdr:col>
                    <xdr:colOff>628650</xdr:colOff>
                    <xdr:row>8</xdr:row>
                    <xdr:rowOff>28575</xdr:rowOff>
                  </from>
                  <to>
                    <xdr:col>7</xdr:col>
                    <xdr:colOff>981075</xdr:colOff>
                    <xdr:row>9</xdr:row>
                    <xdr:rowOff>28575</xdr:rowOff>
                  </to>
                </anchor>
              </controlPr>
            </control>
          </mc:Choice>
        </mc:AlternateContent>
        <mc:AlternateContent xmlns:mc="http://schemas.openxmlformats.org/markup-compatibility/2006">
          <mc:Choice Requires="x14">
            <control shapeId="19266" r:id="rId635" name="Check Box 834">
              <controlPr defaultSize="0" autoFill="0" autoLine="0" autoPict="0">
                <anchor moveWithCells="1">
                  <from>
                    <xdr:col>7</xdr:col>
                    <xdr:colOff>628650</xdr:colOff>
                    <xdr:row>9</xdr:row>
                    <xdr:rowOff>28575</xdr:rowOff>
                  </from>
                  <to>
                    <xdr:col>7</xdr:col>
                    <xdr:colOff>981075</xdr:colOff>
                    <xdr:row>10</xdr:row>
                    <xdr:rowOff>28575</xdr:rowOff>
                  </to>
                </anchor>
              </controlPr>
            </control>
          </mc:Choice>
        </mc:AlternateContent>
        <mc:AlternateContent xmlns:mc="http://schemas.openxmlformats.org/markup-compatibility/2006">
          <mc:Choice Requires="x14">
            <control shapeId="19267" r:id="rId636" name="Check Box 835">
              <controlPr defaultSize="0" autoFill="0" autoLine="0" autoPict="0">
                <anchor moveWithCells="1">
                  <from>
                    <xdr:col>7</xdr:col>
                    <xdr:colOff>628650</xdr:colOff>
                    <xdr:row>10</xdr:row>
                    <xdr:rowOff>28575</xdr:rowOff>
                  </from>
                  <to>
                    <xdr:col>7</xdr:col>
                    <xdr:colOff>981075</xdr:colOff>
                    <xdr:row>11</xdr:row>
                    <xdr:rowOff>28575</xdr:rowOff>
                  </to>
                </anchor>
              </controlPr>
            </control>
          </mc:Choice>
        </mc:AlternateContent>
        <mc:AlternateContent xmlns:mc="http://schemas.openxmlformats.org/markup-compatibility/2006">
          <mc:Choice Requires="x14">
            <control shapeId="19268" r:id="rId637" name="Check Box 836">
              <controlPr defaultSize="0" autoFill="0" autoLine="0" autoPict="0">
                <anchor moveWithCells="1">
                  <from>
                    <xdr:col>7</xdr:col>
                    <xdr:colOff>628650</xdr:colOff>
                    <xdr:row>11</xdr:row>
                    <xdr:rowOff>28575</xdr:rowOff>
                  </from>
                  <to>
                    <xdr:col>7</xdr:col>
                    <xdr:colOff>981075</xdr:colOff>
                    <xdr:row>12</xdr:row>
                    <xdr:rowOff>28575</xdr:rowOff>
                  </to>
                </anchor>
              </controlPr>
            </control>
          </mc:Choice>
        </mc:AlternateContent>
        <mc:AlternateContent xmlns:mc="http://schemas.openxmlformats.org/markup-compatibility/2006">
          <mc:Choice Requires="x14">
            <control shapeId="19269" r:id="rId638" name="Check Box 837">
              <controlPr defaultSize="0" autoFill="0" autoLine="0" autoPict="0">
                <anchor moveWithCells="1">
                  <from>
                    <xdr:col>7</xdr:col>
                    <xdr:colOff>628650</xdr:colOff>
                    <xdr:row>12</xdr:row>
                    <xdr:rowOff>28575</xdr:rowOff>
                  </from>
                  <to>
                    <xdr:col>7</xdr:col>
                    <xdr:colOff>981075</xdr:colOff>
                    <xdr:row>13</xdr:row>
                    <xdr:rowOff>28575</xdr:rowOff>
                  </to>
                </anchor>
              </controlPr>
            </control>
          </mc:Choice>
        </mc:AlternateContent>
        <mc:AlternateContent xmlns:mc="http://schemas.openxmlformats.org/markup-compatibility/2006">
          <mc:Choice Requires="x14">
            <control shapeId="19270" r:id="rId639" name="Check Box 838">
              <controlPr defaultSize="0" autoFill="0" autoLine="0" autoPict="0">
                <anchor moveWithCells="1">
                  <from>
                    <xdr:col>7</xdr:col>
                    <xdr:colOff>628650</xdr:colOff>
                    <xdr:row>13</xdr:row>
                    <xdr:rowOff>28575</xdr:rowOff>
                  </from>
                  <to>
                    <xdr:col>7</xdr:col>
                    <xdr:colOff>981075</xdr:colOff>
                    <xdr:row>14</xdr:row>
                    <xdr:rowOff>28575</xdr:rowOff>
                  </to>
                </anchor>
              </controlPr>
            </control>
          </mc:Choice>
        </mc:AlternateContent>
        <mc:AlternateContent xmlns:mc="http://schemas.openxmlformats.org/markup-compatibility/2006">
          <mc:Choice Requires="x14">
            <control shapeId="19271" r:id="rId640" name="Check Box 839">
              <controlPr defaultSize="0" autoFill="0" autoLine="0" autoPict="0">
                <anchor moveWithCells="1">
                  <from>
                    <xdr:col>7</xdr:col>
                    <xdr:colOff>628650</xdr:colOff>
                    <xdr:row>14</xdr:row>
                    <xdr:rowOff>28575</xdr:rowOff>
                  </from>
                  <to>
                    <xdr:col>7</xdr:col>
                    <xdr:colOff>981075</xdr:colOff>
                    <xdr:row>15</xdr:row>
                    <xdr:rowOff>28575</xdr:rowOff>
                  </to>
                </anchor>
              </controlPr>
            </control>
          </mc:Choice>
        </mc:AlternateContent>
        <mc:AlternateContent xmlns:mc="http://schemas.openxmlformats.org/markup-compatibility/2006">
          <mc:Choice Requires="x14">
            <control shapeId="19272" r:id="rId641" name="Check Box 840">
              <controlPr defaultSize="0" autoFill="0" autoLine="0" autoPict="0">
                <anchor moveWithCells="1">
                  <from>
                    <xdr:col>7</xdr:col>
                    <xdr:colOff>628650</xdr:colOff>
                    <xdr:row>15</xdr:row>
                    <xdr:rowOff>28575</xdr:rowOff>
                  </from>
                  <to>
                    <xdr:col>7</xdr:col>
                    <xdr:colOff>981075</xdr:colOff>
                    <xdr:row>16</xdr:row>
                    <xdr:rowOff>28575</xdr:rowOff>
                  </to>
                </anchor>
              </controlPr>
            </control>
          </mc:Choice>
        </mc:AlternateContent>
        <mc:AlternateContent xmlns:mc="http://schemas.openxmlformats.org/markup-compatibility/2006">
          <mc:Choice Requires="x14">
            <control shapeId="19273" r:id="rId642" name="Check Box 841">
              <controlPr defaultSize="0" autoFill="0" autoLine="0" autoPict="0">
                <anchor moveWithCells="1">
                  <from>
                    <xdr:col>7</xdr:col>
                    <xdr:colOff>628650</xdr:colOff>
                    <xdr:row>16</xdr:row>
                    <xdr:rowOff>28575</xdr:rowOff>
                  </from>
                  <to>
                    <xdr:col>7</xdr:col>
                    <xdr:colOff>981075</xdr:colOff>
                    <xdr:row>17</xdr:row>
                    <xdr:rowOff>28575</xdr:rowOff>
                  </to>
                </anchor>
              </controlPr>
            </control>
          </mc:Choice>
        </mc:AlternateContent>
        <mc:AlternateContent xmlns:mc="http://schemas.openxmlformats.org/markup-compatibility/2006">
          <mc:Choice Requires="x14">
            <control shapeId="19274" r:id="rId643" name="Check Box 842">
              <controlPr defaultSize="0" autoFill="0" autoLine="0" autoPict="0">
                <anchor moveWithCells="1">
                  <from>
                    <xdr:col>7</xdr:col>
                    <xdr:colOff>628650</xdr:colOff>
                    <xdr:row>17</xdr:row>
                    <xdr:rowOff>28575</xdr:rowOff>
                  </from>
                  <to>
                    <xdr:col>7</xdr:col>
                    <xdr:colOff>981075</xdr:colOff>
                    <xdr:row>18</xdr:row>
                    <xdr:rowOff>28575</xdr:rowOff>
                  </to>
                </anchor>
              </controlPr>
            </control>
          </mc:Choice>
        </mc:AlternateContent>
        <mc:AlternateContent xmlns:mc="http://schemas.openxmlformats.org/markup-compatibility/2006">
          <mc:Choice Requires="x14">
            <control shapeId="19275" r:id="rId644" name="Check Box 843">
              <controlPr defaultSize="0" autoFill="0" autoLine="0" autoPict="0">
                <anchor moveWithCells="1">
                  <from>
                    <xdr:col>7</xdr:col>
                    <xdr:colOff>628650</xdr:colOff>
                    <xdr:row>18</xdr:row>
                    <xdr:rowOff>28575</xdr:rowOff>
                  </from>
                  <to>
                    <xdr:col>7</xdr:col>
                    <xdr:colOff>981075</xdr:colOff>
                    <xdr:row>19</xdr:row>
                    <xdr:rowOff>28575</xdr:rowOff>
                  </to>
                </anchor>
              </controlPr>
            </control>
          </mc:Choice>
        </mc:AlternateContent>
        <mc:AlternateContent xmlns:mc="http://schemas.openxmlformats.org/markup-compatibility/2006">
          <mc:Choice Requires="x14">
            <control shapeId="19286" r:id="rId645" name="Button 854">
              <controlPr defaultSize="0" print="0" autoFill="0" autoPict="0" macro="[1]!実費台紙">
                <anchor>
                  <from>
                    <xdr:col>9</xdr:col>
                    <xdr:colOff>400050</xdr:colOff>
                    <xdr:row>36</xdr:row>
                    <xdr:rowOff>0</xdr:rowOff>
                  </from>
                  <to>
                    <xdr:col>9</xdr:col>
                    <xdr:colOff>1714500</xdr:colOff>
                    <xdr:row>38</xdr:row>
                    <xdr:rowOff>47625</xdr:rowOff>
                  </to>
                </anchor>
              </controlPr>
            </control>
          </mc:Choice>
        </mc:AlternateContent>
        <mc:AlternateContent xmlns:mc="http://schemas.openxmlformats.org/markup-compatibility/2006">
          <mc:Choice Requires="x14">
            <control shapeId="19287" r:id="rId646" name="Button 855">
              <controlPr defaultSize="0" print="0" autoFill="0" autoPict="0" macro="[1]!戸籍申請書相続人">
                <anchor>
                  <from>
                    <xdr:col>8</xdr:col>
                    <xdr:colOff>504825</xdr:colOff>
                    <xdr:row>39</xdr:row>
                    <xdr:rowOff>57150</xdr:rowOff>
                  </from>
                  <to>
                    <xdr:col>9</xdr:col>
                    <xdr:colOff>76200</xdr:colOff>
                    <xdr:row>41</xdr:row>
                    <xdr:rowOff>114300</xdr:rowOff>
                  </to>
                </anchor>
              </controlPr>
            </control>
          </mc:Choice>
        </mc:AlternateContent>
        <mc:AlternateContent xmlns:mc="http://schemas.openxmlformats.org/markup-compatibility/2006">
          <mc:Choice Requires="x14">
            <control shapeId="19288" r:id="rId647" name="Button 856">
              <controlPr defaultSize="0" print="0" autoFill="0" autoPict="0" macro="[1]!戸籍申請書">
                <anchor>
                  <from>
                    <xdr:col>8</xdr:col>
                    <xdr:colOff>495300</xdr:colOff>
                    <xdr:row>36</xdr:row>
                    <xdr:rowOff>0</xdr:rowOff>
                  </from>
                  <to>
                    <xdr:col>9</xdr:col>
                    <xdr:colOff>76200</xdr:colOff>
                    <xdr:row>38</xdr:row>
                    <xdr:rowOff>47625</xdr:rowOff>
                  </to>
                </anchor>
              </controlPr>
            </control>
          </mc:Choice>
        </mc:AlternateContent>
      </controls>
    </mc:Choice>
  </mc:AlternateContent>
  <tableParts count="2">
    <tablePart r:id="rId648"/>
    <tablePart r:id="rId64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5F514-D97C-43D4-8696-1835F84B6EFB}">
  <sheetPr codeName="Sheet3">
    <tabColor theme="9"/>
    <pageSetUpPr fitToPage="1"/>
  </sheetPr>
  <dimension ref="A1:R27"/>
  <sheetViews>
    <sheetView workbookViewId="0">
      <selection activeCell="K22" sqref="K22"/>
    </sheetView>
  </sheetViews>
  <sheetFormatPr defaultColWidth="9" defaultRowHeight="18.75" x14ac:dyDescent="0.4"/>
  <cols>
    <col min="1" max="1" width="12.5" style="111" customWidth="1"/>
    <col min="2" max="2" width="18.125" style="111" customWidth="1"/>
    <col min="3" max="3" width="9" style="111" customWidth="1"/>
    <col min="4" max="6" width="7.125" style="111" customWidth="1"/>
    <col min="7" max="7" width="11" style="111" customWidth="1"/>
    <col min="8" max="9" width="9.375" style="111" customWidth="1"/>
    <col min="10" max="10" width="9" style="111"/>
    <col min="11" max="11" width="18.125" style="111" customWidth="1"/>
    <col min="12" max="12" width="9" style="111" customWidth="1"/>
    <col min="13" max="15" width="7.125" style="111" customWidth="1"/>
    <col min="16" max="16" width="11" style="111" customWidth="1"/>
    <col min="17" max="18" width="9.375" style="111" customWidth="1"/>
    <col min="19" max="16384" width="9" style="111"/>
  </cols>
  <sheetData>
    <row r="1" spans="1:18" ht="23.25" customHeight="1" x14ac:dyDescent="0.4">
      <c r="A1" s="159">
        <f>基本画面!$C$23</f>
        <v>0</v>
      </c>
      <c r="B1" s="160"/>
      <c r="C1" s="160"/>
      <c r="D1" s="163">
        <f>基本画面!$B$9</f>
        <v>0</v>
      </c>
      <c r="E1" s="164"/>
      <c r="F1" s="163" t="str">
        <f>基本画面!$B$11</f>
        <v>遺言作成サポート</v>
      </c>
      <c r="G1" s="164"/>
      <c r="H1" s="167">
        <f>基本画面!$D$13</f>
        <v>0</v>
      </c>
      <c r="I1" s="168"/>
      <c r="J1" s="114"/>
      <c r="K1" s="114"/>
      <c r="L1" s="114"/>
      <c r="M1" s="114"/>
      <c r="N1" s="114"/>
      <c r="O1" s="114"/>
      <c r="P1" s="114"/>
      <c r="Q1" s="114"/>
      <c r="R1" s="114"/>
    </row>
    <row r="2" spans="1:18" ht="23.25" customHeight="1" thickBot="1" x14ac:dyDescent="0.45">
      <c r="A2" s="161"/>
      <c r="B2" s="162"/>
      <c r="C2" s="162"/>
      <c r="D2" s="165"/>
      <c r="E2" s="166"/>
      <c r="F2" s="165"/>
      <c r="G2" s="166"/>
      <c r="H2" s="169"/>
      <c r="I2" s="170"/>
      <c r="J2" s="114"/>
      <c r="K2" s="114"/>
      <c r="L2" s="114"/>
      <c r="M2" s="114"/>
      <c r="N2" s="114"/>
      <c r="O2" s="114"/>
      <c r="P2" s="114"/>
      <c r="Q2" s="114"/>
      <c r="R2" s="114"/>
    </row>
    <row r="3" spans="1:18" ht="27.75" customHeight="1" x14ac:dyDescent="0.4">
      <c r="A3" s="123" t="s">
        <v>481</v>
      </c>
      <c r="B3" s="149" t="str">
        <f>基本画面!$D$23&amp;""</f>
        <v/>
      </c>
      <c r="C3" s="149"/>
      <c r="D3" s="149"/>
      <c r="E3" s="149"/>
      <c r="F3" s="149"/>
      <c r="G3" s="149"/>
      <c r="H3" s="149"/>
      <c r="I3" s="150"/>
      <c r="J3" s="114"/>
      <c r="K3" s="114"/>
      <c r="L3" s="114"/>
      <c r="M3" s="114"/>
      <c r="N3" s="114"/>
      <c r="O3" s="114"/>
      <c r="P3" s="114"/>
      <c r="Q3" s="114"/>
      <c r="R3" s="114"/>
    </row>
    <row r="4" spans="1:18" ht="27.75" customHeight="1" x14ac:dyDescent="0.4">
      <c r="A4" s="123" t="s">
        <v>480</v>
      </c>
      <c r="B4" s="143" t="str">
        <f>基本画面!$C$23&amp;""</f>
        <v/>
      </c>
      <c r="C4" s="143"/>
      <c r="D4" s="143"/>
      <c r="E4" s="143"/>
      <c r="F4" s="143"/>
      <c r="G4" s="143"/>
      <c r="H4" s="143"/>
      <c r="I4" s="144"/>
      <c r="J4" s="114"/>
      <c r="K4" s="114"/>
      <c r="L4" s="114"/>
      <c r="M4" s="114"/>
      <c r="N4" s="114"/>
      <c r="O4" s="114"/>
      <c r="P4" s="114"/>
      <c r="Q4" s="114"/>
      <c r="R4" s="114"/>
    </row>
    <row r="5" spans="1:18" ht="27.75" customHeight="1" x14ac:dyDescent="0.4">
      <c r="A5" s="123" t="s">
        <v>479</v>
      </c>
      <c r="B5" s="143" t="str">
        <f>基本画面!$H$23&amp;"　"&amp;基本画面!$I$23</f>
        <v>　</v>
      </c>
      <c r="C5" s="143"/>
      <c r="D5" s="143"/>
      <c r="E5" s="143"/>
      <c r="F5" s="143"/>
      <c r="G5" s="143"/>
      <c r="H5" s="143"/>
      <c r="I5" s="144"/>
      <c r="J5" s="114"/>
      <c r="K5" s="114"/>
      <c r="L5" s="114"/>
      <c r="M5" s="114"/>
      <c r="N5" s="114"/>
      <c r="O5" s="114"/>
      <c r="P5" s="114"/>
      <c r="Q5" s="114"/>
      <c r="R5" s="114"/>
    </row>
    <row r="6" spans="1:18" ht="27.75" customHeight="1" x14ac:dyDescent="0.4">
      <c r="A6" s="123" t="s">
        <v>478</v>
      </c>
      <c r="B6" s="145" t="str">
        <f>IF(基本画面!$E$23="","",基本画面!$E$23)</f>
        <v/>
      </c>
      <c r="C6" s="145"/>
      <c r="D6" s="145"/>
      <c r="E6" s="145"/>
      <c r="F6" s="145"/>
      <c r="G6" s="145"/>
      <c r="H6" s="145"/>
      <c r="I6" s="146"/>
      <c r="J6" s="114"/>
      <c r="K6" s="114"/>
      <c r="L6" s="114"/>
      <c r="M6" s="114"/>
      <c r="N6" s="114"/>
      <c r="O6" s="114"/>
      <c r="P6" s="114"/>
      <c r="Q6" s="114"/>
      <c r="R6" s="114"/>
    </row>
    <row r="7" spans="1:18" ht="27.75" customHeight="1" x14ac:dyDescent="0.4">
      <c r="A7" s="123" t="s">
        <v>477</v>
      </c>
      <c r="B7" s="143" t="str">
        <f>基本画面!$K$23&amp;""</f>
        <v/>
      </c>
      <c r="C7" s="143"/>
      <c r="D7" s="143"/>
      <c r="E7" s="143"/>
      <c r="F7" s="143"/>
      <c r="G7" s="143"/>
      <c r="H7" s="143"/>
      <c r="I7" s="144"/>
      <c r="J7" s="114"/>
      <c r="K7" s="114"/>
      <c r="L7" s="114"/>
      <c r="M7" s="114"/>
      <c r="N7" s="114"/>
      <c r="O7" s="114"/>
      <c r="P7" s="114"/>
      <c r="Q7" s="114"/>
      <c r="R7" s="114"/>
    </row>
    <row r="8" spans="1:18" ht="27.75" customHeight="1" thickBot="1" x14ac:dyDescent="0.45">
      <c r="A8" s="123" t="s">
        <v>476</v>
      </c>
      <c r="B8" s="147" t="str">
        <f>基本画面!$L$23&amp;""</f>
        <v/>
      </c>
      <c r="C8" s="147"/>
      <c r="D8" s="147"/>
      <c r="E8" s="147"/>
      <c r="F8" s="147"/>
      <c r="G8" s="147"/>
      <c r="H8" s="147"/>
      <c r="I8" s="148"/>
      <c r="J8" s="114"/>
      <c r="K8" s="114"/>
      <c r="L8" s="114"/>
      <c r="M8" s="114"/>
      <c r="N8" s="114"/>
      <c r="O8" s="114"/>
      <c r="P8" s="114"/>
      <c r="Q8" s="114"/>
      <c r="R8" s="114"/>
    </row>
    <row r="9" spans="1:18" ht="27.75" customHeight="1" x14ac:dyDescent="0.4">
      <c r="A9" s="122" t="s">
        <v>475</v>
      </c>
      <c r="B9" s="121" t="str">
        <f>基本画面!$D$23&amp;""</f>
        <v/>
      </c>
      <c r="C9" s="149"/>
      <c r="D9" s="149"/>
      <c r="E9" s="149"/>
      <c r="F9" s="149"/>
      <c r="G9" s="149"/>
      <c r="H9" s="149"/>
      <c r="I9" s="150"/>
      <c r="J9" s="114"/>
      <c r="K9" s="114"/>
      <c r="L9" s="114"/>
      <c r="M9" s="114"/>
      <c r="N9" s="114"/>
      <c r="O9" s="114"/>
      <c r="P9" s="114"/>
      <c r="Q9" s="114"/>
      <c r="R9" s="114"/>
    </row>
    <row r="10" spans="1:18" ht="27.75" customHeight="1" thickBot="1" x14ac:dyDescent="0.45">
      <c r="A10" s="120" t="s">
        <v>452</v>
      </c>
      <c r="B10" s="119" t="str">
        <f>基本画面!$C$23&amp;""</f>
        <v/>
      </c>
      <c r="C10" s="147" t="str">
        <f>基本画面!$H$23&amp;"　"&amp;基本画面!$I$23</f>
        <v>　</v>
      </c>
      <c r="D10" s="147"/>
      <c r="E10" s="147"/>
      <c r="F10" s="147"/>
      <c r="G10" s="147"/>
      <c r="H10" s="147"/>
      <c r="I10" s="148"/>
      <c r="J10" s="114"/>
      <c r="K10" s="114"/>
      <c r="L10" s="114"/>
      <c r="M10" s="114"/>
      <c r="N10" s="114"/>
      <c r="O10" s="114"/>
      <c r="P10" s="114"/>
      <c r="Q10" s="114"/>
      <c r="R10" s="114"/>
    </row>
    <row r="11" spans="1:18" ht="18.75" customHeight="1" x14ac:dyDescent="0.4">
      <c r="A11" s="151" t="s">
        <v>474</v>
      </c>
      <c r="B11" s="152"/>
      <c r="C11" s="152"/>
      <c r="D11" s="152"/>
      <c r="E11" s="152"/>
      <c r="F11" s="152"/>
      <c r="G11" s="152"/>
      <c r="H11" s="152"/>
      <c r="I11" s="153"/>
      <c r="J11" s="114"/>
      <c r="K11" s="114"/>
      <c r="L11" s="114"/>
      <c r="M11" s="114"/>
      <c r="N11" s="114"/>
      <c r="O11" s="114"/>
      <c r="P11" s="114"/>
      <c r="Q11" s="114"/>
      <c r="R11" s="114"/>
    </row>
    <row r="12" spans="1:18" ht="18.75" customHeight="1" x14ac:dyDescent="0.4">
      <c r="A12" s="154"/>
      <c r="B12" s="155"/>
      <c r="C12" s="155"/>
      <c r="D12" s="155"/>
      <c r="E12" s="155"/>
      <c r="F12" s="155"/>
      <c r="G12" s="155"/>
      <c r="H12" s="155"/>
      <c r="I12" s="156"/>
      <c r="J12" s="114"/>
      <c r="K12" s="114"/>
      <c r="L12" s="114"/>
      <c r="M12" s="114"/>
      <c r="N12" s="114"/>
      <c r="O12" s="114"/>
      <c r="P12" s="114"/>
      <c r="Q12" s="114"/>
      <c r="R12" s="114"/>
    </row>
    <row r="13" spans="1:18" ht="70.5" customHeight="1" x14ac:dyDescent="0.4">
      <c r="A13" s="118" t="s">
        <v>473</v>
      </c>
      <c r="B13" s="157" t="s">
        <v>472</v>
      </c>
      <c r="C13" s="157"/>
      <c r="D13" s="157"/>
      <c r="E13" s="157"/>
      <c r="F13" s="157"/>
      <c r="G13" s="157"/>
      <c r="H13" s="157"/>
      <c r="I13" s="158"/>
      <c r="J13" s="114"/>
      <c r="K13" s="114"/>
      <c r="L13" s="114"/>
      <c r="M13" s="114"/>
      <c r="N13" s="114"/>
      <c r="O13" s="114"/>
      <c r="P13" s="114"/>
      <c r="Q13" s="114"/>
      <c r="R13" s="114"/>
    </row>
    <row r="14" spans="1:18" ht="45" customHeight="1" x14ac:dyDescent="0.4">
      <c r="A14" s="118" t="s">
        <v>471</v>
      </c>
      <c r="B14" s="157" t="s">
        <v>482</v>
      </c>
      <c r="C14" s="157"/>
      <c r="D14" s="157"/>
      <c r="E14" s="157"/>
      <c r="F14" s="157"/>
      <c r="G14" s="157"/>
      <c r="H14" s="157"/>
      <c r="I14" s="158"/>
      <c r="J14" s="114"/>
      <c r="K14" s="114"/>
      <c r="L14" s="114"/>
      <c r="M14" s="114"/>
      <c r="N14" s="114"/>
      <c r="O14" s="114"/>
      <c r="P14" s="114"/>
      <c r="Q14" s="114"/>
      <c r="R14" s="114"/>
    </row>
    <row r="15" spans="1:18" ht="45" customHeight="1" x14ac:dyDescent="0.4">
      <c r="A15" s="117" t="s">
        <v>471</v>
      </c>
      <c r="B15" s="132"/>
      <c r="C15" s="133"/>
      <c r="D15" s="133"/>
      <c r="E15" s="133"/>
      <c r="F15" s="133"/>
      <c r="G15" s="133"/>
      <c r="H15" s="133"/>
      <c r="I15" s="134"/>
      <c r="J15" s="114"/>
      <c r="K15" s="114"/>
      <c r="L15" s="114"/>
      <c r="M15" s="114"/>
      <c r="N15" s="114"/>
      <c r="O15" s="114"/>
      <c r="P15" s="114"/>
      <c r="Q15" s="114"/>
      <c r="R15" s="114"/>
    </row>
    <row r="16" spans="1:18" ht="45" customHeight="1" x14ac:dyDescent="0.4">
      <c r="A16" s="117" t="s">
        <v>471</v>
      </c>
      <c r="B16" s="132"/>
      <c r="C16" s="133"/>
      <c r="D16" s="133"/>
      <c r="E16" s="133"/>
      <c r="F16" s="133"/>
      <c r="G16" s="133"/>
      <c r="H16" s="133"/>
      <c r="I16" s="134"/>
      <c r="J16" s="114"/>
      <c r="K16" s="114"/>
      <c r="L16" s="114"/>
      <c r="M16" s="114"/>
      <c r="N16" s="114"/>
      <c r="O16" s="114"/>
      <c r="P16" s="114"/>
      <c r="Q16" s="114"/>
      <c r="R16" s="114"/>
    </row>
    <row r="17" spans="1:18" ht="45" customHeight="1" x14ac:dyDescent="0.4">
      <c r="A17" s="117" t="s">
        <v>471</v>
      </c>
      <c r="B17" s="132"/>
      <c r="C17" s="133"/>
      <c r="D17" s="133"/>
      <c r="E17" s="133"/>
      <c r="F17" s="133"/>
      <c r="G17" s="133"/>
      <c r="H17" s="133"/>
      <c r="I17" s="134"/>
      <c r="J17" s="114"/>
      <c r="K17" s="114"/>
      <c r="L17" s="114"/>
      <c r="M17" s="114"/>
      <c r="N17" s="114"/>
      <c r="O17" s="114"/>
      <c r="P17" s="114"/>
      <c r="Q17" s="114"/>
      <c r="R17" s="114"/>
    </row>
    <row r="18" spans="1:18" ht="39.75" customHeight="1" x14ac:dyDescent="0.4">
      <c r="A18" s="135" t="s">
        <v>470</v>
      </c>
      <c r="B18" s="136"/>
      <c r="C18" s="136"/>
      <c r="D18" s="136"/>
      <c r="E18" s="136"/>
      <c r="F18" s="136"/>
      <c r="G18" s="136"/>
      <c r="H18" s="136"/>
      <c r="I18" s="137"/>
      <c r="J18" s="114"/>
      <c r="K18" s="114"/>
      <c r="L18" s="114"/>
      <c r="M18" s="114"/>
      <c r="N18" s="114"/>
      <c r="O18" s="114"/>
      <c r="P18" s="114"/>
      <c r="Q18" s="114"/>
      <c r="R18" s="114"/>
    </row>
    <row r="19" spans="1:18" ht="45" customHeight="1" x14ac:dyDescent="0.4">
      <c r="A19" s="116"/>
      <c r="B19" s="132" t="s">
        <v>469</v>
      </c>
      <c r="C19" s="133"/>
      <c r="D19" s="133"/>
      <c r="E19" s="133"/>
      <c r="F19" s="133"/>
      <c r="G19" s="133"/>
      <c r="H19" s="133"/>
      <c r="I19" s="134"/>
      <c r="J19" s="114"/>
      <c r="K19" s="114"/>
      <c r="L19" s="114"/>
      <c r="M19" s="114"/>
      <c r="N19" s="114"/>
      <c r="O19" s="114"/>
      <c r="P19" s="114"/>
      <c r="Q19" s="114"/>
      <c r="R19" s="114"/>
    </row>
    <row r="20" spans="1:18" ht="45" customHeight="1" x14ac:dyDescent="0.4">
      <c r="A20" s="116"/>
      <c r="B20" s="132"/>
      <c r="C20" s="133"/>
      <c r="D20" s="133"/>
      <c r="E20" s="133"/>
      <c r="F20" s="133"/>
      <c r="G20" s="133"/>
      <c r="H20" s="133"/>
      <c r="I20" s="134"/>
      <c r="J20" s="114"/>
      <c r="K20" s="114"/>
      <c r="L20" s="114"/>
      <c r="M20" s="114"/>
      <c r="N20" s="114"/>
      <c r="O20" s="114"/>
      <c r="P20" s="114"/>
      <c r="Q20" s="114"/>
      <c r="R20" s="114"/>
    </row>
    <row r="21" spans="1:18" ht="45" customHeight="1" x14ac:dyDescent="0.4">
      <c r="A21" s="135" t="s">
        <v>468</v>
      </c>
      <c r="B21" s="136"/>
      <c r="C21" s="136"/>
      <c r="D21" s="136"/>
      <c r="E21" s="136"/>
      <c r="F21" s="136"/>
      <c r="G21" s="136"/>
      <c r="H21" s="136"/>
      <c r="I21" s="137"/>
      <c r="J21" s="114"/>
      <c r="K21" s="114"/>
      <c r="L21" s="114"/>
      <c r="M21" s="114"/>
      <c r="N21" s="114"/>
      <c r="O21" s="114"/>
      <c r="P21" s="114"/>
      <c r="Q21" s="114"/>
      <c r="R21" s="114"/>
    </row>
    <row r="22" spans="1:18" ht="45" customHeight="1" x14ac:dyDescent="0.4">
      <c r="A22" s="116" t="s">
        <v>465</v>
      </c>
      <c r="B22" s="141" t="s">
        <v>467</v>
      </c>
      <c r="C22" s="141"/>
      <c r="D22" s="141"/>
      <c r="E22" s="141"/>
      <c r="F22" s="141"/>
      <c r="G22" s="141"/>
      <c r="H22" s="141"/>
      <c r="I22" s="142"/>
      <c r="J22" s="114"/>
      <c r="K22" s="114"/>
      <c r="L22" s="114"/>
      <c r="M22" s="114"/>
      <c r="N22" s="114"/>
      <c r="O22" s="114"/>
      <c r="P22" s="114"/>
      <c r="Q22" s="114"/>
      <c r="R22" s="114"/>
    </row>
    <row r="23" spans="1:18" ht="45" customHeight="1" x14ac:dyDescent="0.4">
      <c r="A23" s="116" t="s">
        <v>465</v>
      </c>
      <c r="B23" s="141" t="s">
        <v>466</v>
      </c>
      <c r="C23" s="141"/>
      <c r="D23" s="141"/>
      <c r="E23" s="141"/>
      <c r="F23" s="141"/>
      <c r="G23" s="141"/>
      <c r="H23" s="141"/>
      <c r="I23" s="142"/>
      <c r="J23" s="114"/>
      <c r="K23" s="114"/>
      <c r="L23" s="114"/>
      <c r="M23" s="114"/>
      <c r="N23" s="114"/>
      <c r="O23" s="114"/>
      <c r="P23" s="114"/>
      <c r="Q23" s="114"/>
      <c r="R23" s="114"/>
    </row>
    <row r="24" spans="1:18" ht="45" customHeight="1" thickBot="1" x14ac:dyDescent="0.45">
      <c r="A24" s="115" t="s">
        <v>465</v>
      </c>
      <c r="B24" s="138"/>
      <c r="C24" s="139"/>
      <c r="D24" s="139"/>
      <c r="E24" s="139"/>
      <c r="F24" s="139"/>
      <c r="G24" s="139"/>
      <c r="H24" s="139"/>
      <c r="I24" s="140"/>
      <c r="J24" s="114"/>
      <c r="K24" s="114"/>
      <c r="L24" s="114"/>
      <c r="M24" s="114"/>
      <c r="N24" s="114"/>
      <c r="O24" s="114"/>
      <c r="P24" s="114"/>
      <c r="Q24" s="114"/>
      <c r="R24" s="114"/>
    </row>
    <row r="25" spans="1:18" ht="94.5" customHeight="1" x14ac:dyDescent="0.4">
      <c r="A25" s="113"/>
      <c r="B25" s="112"/>
      <c r="C25" s="112"/>
      <c r="D25" s="112"/>
      <c r="E25" s="112"/>
      <c r="F25" s="112"/>
      <c r="G25" s="112"/>
      <c r="H25" s="112"/>
      <c r="I25" s="112"/>
      <c r="J25" s="114"/>
      <c r="K25" s="114"/>
      <c r="L25" s="114"/>
      <c r="M25" s="114"/>
      <c r="N25" s="114"/>
      <c r="O25" s="114"/>
      <c r="P25" s="114"/>
      <c r="Q25" s="114"/>
      <c r="R25" s="114"/>
    </row>
    <row r="26" spans="1:18" ht="94.5" customHeight="1" x14ac:dyDescent="0.4">
      <c r="A26" s="113"/>
      <c r="B26" s="112"/>
      <c r="C26" s="112"/>
      <c r="D26" s="112"/>
      <c r="E26" s="112"/>
      <c r="F26" s="112"/>
      <c r="G26" s="112"/>
      <c r="H26" s="112"/>
      <c r="I26" s="112"/>
    </row>
    <row r="27" spans="1:18" ht="94.5" customHeight="1" x14ac:dyDescent="0.4">
      <c r="A27" s="113"/>
      <c r="B27" s="112"/>
      <c r="C27" s="112"/>
      <c r="D27" s="112"/>
      <c r="E27" s="112"/>
      <c r="F27" s="112"/>
      <c r="G27" s="112"/>
      <c r="H27" s="112"/>
      <c r="I27" s="112"/>
    </row>
  </sheetData>
  <mergeCells count="25">
    <mergeCell ref="B4:I4"/>
    <mergeCell ref="A1:C2"/>
    <mergeCell ref="D1:E2"/>
    <mergeCell ref="F1:G2"/>
    <mergeCell ref="H1:I2"/>
    <mergeCell ref="B3:I3"/>
    <mergeCell ref="B16:I16"/>
    <mergeCell ref="B5:I5"/>
    <mergeCell ref="B6:I6"/>
    <mergeCell ref="B7:I7"/>
    <mergeCell ref="B8:I8"/>
    <mergeCell ref="C9:I9"/>
    <mergeCell ref="C10:I10"/>
    <mergeCell ref="A11:I12"/>
    <mergeCell ref="B13:I13"/>
    <mergeCell ref="B14:I14"/>
    <mergeCell ref="B15:I15"/>
    <mergeCell ref="B17:I17"/>
    <mergeCell ref="A18:I18"/>
    <mergeCell ref="B19:I19"/>
    <mergeCell ref="B24:I24"/>
    <mergeCell ref="B20:I20"/>
    <mergeCell ref="A21:I21"/>
    <mergeCell ref="B22:I22"/>
    <mergeCell ref="B23:I23"/>
  </mergeCells>
  <phoneticPr fontId="1"/>
  <pageMargins left="0.7" right="0.7" top="0.75" bottom="0.75" header="0.3" footer="0.3"/>
  <pageSetup paperSize="9" scale="9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2529" r:id="rId4" name="Check Box 1">
              <controlPr defaultSize="0" autoFill="0" autoLine="0" autoPict="0">
                <anchor moveWithCells="1">
                  <from>
                    <xdr:col>0</xdr:col>
                    <xdr:colOff>0</xdr:colOff>
                    <xdr:row>21</xdr:row>
                    <xdr:rowOff>161925</xdr:rowOff>
                  </from>
                  <to>
                    <xdr:col>0</xdr:col>
                    <xdr:colOff>247650</xdr:colOff>
                    <xdr:row>21</xdr:row>
                    <xdr:rowOff>409575</xdr:rowOff>
                  </to>
                </anchor>
              </controlPr>
            </control>
          </mc:Choice>
        </mc:AlternateContent>
        <mc:AlternateContent xmlns:mc="http://schemas.openxmlformats.org/markup-compatibility/2006">
          <mc:Choice Requires="x14">
            <control shapeId="22530" r:id="rId5" name="Check Box 2">
              <controlPr defaultSize="0" autoFill="0" autoLine="0" autoPict="0">
                <anchor moveWithCells="1">
                  <from>
                    <xdr:col>0</xdr:col>
                    <xdr:colOff>0</xdr:colOff>
                    <xdr:row>22</xdr:row>
                    <xdr:rowOff>161925</xdr:rowOff>
                  </from>
                  <to>
                    <xdr:col>0</xdr:col>
                    <xdr:colOff>247650</xdr:colOff>
                    <xdr:row>22</xdr:row>
                    <xdr:rowOff>409575</xdr:rowOff>
                  </to>
                </anchor>
              </controlPr>
            </control>
          </mc:Choice>
        </mc:AlternateContent>
        <mc:AlternateContent xmlns:mc="http://schemas.openxmlformats.org/markup-compatibility/2006">
          <mc:Choice Requires="x14">
            <control shapeId="22531" r:id="rId6" name="Check Box 3">
              <controlPr defaultSize="0" autoFill="0" autoLine="0" autoPict="0">
                <anchor moveWithCells="1">
                  <from>
                    <xdr:col>0</xdr:col>
                    <xdr:colOff>0</xdr:colOff>
                    <xdr:row>23</xdr:row>
                    <xdr:rowOff>161925</xdr:rowOff>
                  </from>
                  <to>
                    <xdr:col>0</xdr:col>
                    <xdr:colOff>247650</xdr:colOff>
                    <xdr:row>23</xdr:row>
                    <xdr:rowOff>409575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B011-3B93-41F6-85FE-1AF52B6C2FE2}">
  <sheetPr codeName="Sheet4">
    <tabColor rgb="FF7030A0"/>
  </sheetPr>
  <dimension ref="A1:Y46"/>
  <sheetViews>
    <sheetView view="pageBreakPreview" workbookViewId="0">
      <selection sqref="A1:Y2"/>
    </sheetView>
  </sheetViews>
  <sheetFormatPr defaultColWidth="3.75" defaultRowHeight="22.5" customHeight="1" x14ac:dyDescent="0.15"/>
  <sheetData>
    <row r="1" spans="1:25" ht="22.5" customHeight="1" x14ac:dyDescent="0.15">
      <c r="A1" s="270" t="s">
        <v>0</v>
      </c>
      <c r="B1" s="270"/>
      <c r="C1" s="270"/>
      <c r="D1" s="270"/>
      <c r="E1" s="270"/>
      <c r="F1" s="270"/>
      <c r="G1" s="270"/>
      <c r="H1" s="270"/>
      <c r="I1" s="270"/>
      <c r="J1" s="270"/>
      <c r="K1" s="270"/>
      <c r="L1" s="270"/>
      <c r="M1" s="270"/>
      <c r="N1" s="270"/>
      <c r="O1" s="270"/>
      <c r="P1" s="270"/>
      <c r="Q1" s="270"/>
      <c r="R1" s="270"/>
      <c r="S1" s="270"/>
      <c r="T1" s="270"/>
      <c r="U1" s="270"/>
      <c r="V1" s="270"/>
      <c r="W1" s="270"/>
      <c r="X1" s="270"/>
      <c r="Y1" s="270"/>
    </row>
    <row r="2" spans="1:25" ht="22.5" customHeight="1" x14ac:dyDescent="0.15">
      <c r="A2" s="270"/>
      <c r="B2" s="270"/>
      <c r="C2" s="270"/>
      <c r="D2" s="270"/>
      <c r="E2" s="270"/>
      <c r="F2" s="270"/>
      <c r="G2" s="270"/>
      <c r="H2" s="270"/>
      <c r="I2" s="270"/>
      <c r="J2" s="270"/>
      <c r="K2" s="270"/>
      <c r="L2" s="270"/>
      <c r="M2" s="270"/>
      <c r="N2" s="270"/>
      <c r="O2" s="270"/>
      <c r="P2" s="270"/>
      <c r="Q2" s="270"/>
      <c r="R2" s="270"/>
      <c r="S2" s="270"/>
      <c r="T2" s="270"/>
      <c r="U2" s="270"/>
      <c r="V2" s="270"/>
      <c r="W2" s="270"/>
      <c r="X2" s="270"/>
      <c r="Y2" s="270"/>
    </row>
    <row r="3" spans="1:25" ht="22.5" customHeight="1" thickBot="1" x14ac:dyDescent="0.2">
      <c r="A3" s="259">
        <f ca="1">TODAY()</f>
        <v>45978</v>
      </c>
      <c r="B3" s="259"/>
      <c r="C3" s="259"/>
      <c r="D3" s="259"/>
      <c r="E3" s="259"/>
      <c r="F3" s="259"/>
      <c r="G3" s="259"/>
      <c r="H3" s="259"/>
      <c r="I3" s="259"/>
      <c r="J3" s="259"/>
      <c r="K3" s="259"/>
      <c r="L3" s="259"/>
      <c r="M3" s="259"/>
      <c r="N3" s="259"/>
      <c r="O3" s="259"/>
      <c r="P3" s="259"/>
      <c r="Q3" s="259"/>
      <c r="R3" s="259"/>
      <c r="S3" s="259"/>
      <c r="T3" s="259"/>
      <c r="U3" s="259"/>
      <c r="V3" s="259"/>
      <c r="W3" s="259"/>
      <c r="X3" s="259"/>
      <c r="Y3" s="259"/>
    </row>
    <row r="4" spans="1:25" ht="33.75" customHeight="1" x14ac:dyDescent="0.15">
      <c r="A4" s="236" t="s">
        <v>1</v>
      </c>
      <c r="B4" s="237"/>
      <c r="C4" s="237"/>
      <c r="D4" s="260"/>
      <c r="E4" s="237" t="str">
        <f>基本画面!K23&amp;""</f>
        <v/>
      </c>
      <c r="F4" s="237"/>
      <c r="G4" s="237"/>
      <c r="H4" s="237"/>
      <c r="I4" s="237"/>
      <c r="J4" s="237"/>
      <c r="K4" s="237"/>
      <c r="L4" s="237"/>
      <c r="M4" s="237"/>
      <c r="N4" s="237"/>
      <c r="O4" s="237"/>
      <c r="P4" s="237"/>
      <c r="Q4" s="237"/>
      <c r="R4" s="237"/>
      <c r="S4" s="237"/>
      <c r="T4" s="237"/>
      <c r="U4" s="237"/>
      <c r="V4" s="237"/>
      <c r="W4" s="237"/>
      <c r="X4" s="237"/>
      <c r="Y4" s="277"/>
    </row>
    <row r="5" spans="1:25" ht="33.75" customHeight="1" x14ac:dyDescent="0.15">
      <c r="A5" s="271" t="s">
        <v>2</v>
      </c>
      <c r="B5" s="272"/>
      <c r="C5" s="272"/>
      <c r="D5" s="273"/>
      <c r="E5" s="272" t="str">
        <f>基本画面!L23&amp;""</f>
        <v/>
      </c>
      <c r="F5" s="272"/>
      <c r="G5" s="272"/>
      <c r="H5" s="272"/>
      <c r="I5" s="272"/>
      <c r="J5" s="272"/>
      <c r="K5" s="272"/>
      <c r="L5" s="272"/>
      <c r="M5" s="272"/>
      <c r="N5" s="272"/>
      <c r="O5" s="272"/>
      <c r="P5" s="272"/>
      <c r="Q5" s="272"/>
      <c r="R5" s="272"/>
      <c r="S5" s="272"/>
      <c r="T5" s="272"/>
      <c r="U5" s="272"/>
      <c r="V5" s="272"/>
      <c r="W5" s="272"/>
      <c r="X5" s="272"/>
      <c r="Y5" s="278"/>
    </row>
    <row r="6" spans="1:25" ht="33.75" customHeight="1" x14ac:dyDescent="0.15">
      <c r="A6" s="280" t="s">
        <v>16</v>
      </c>
      <c r="B6" s="281"/>
      <c r="C6" s="281"/>
      <c r="D6" s="282"/>
      <c r="E6" s="283" t="str">
        <f>基本画面!H23&amp;""&amp;基本画面!I23</f>
        <v/>
      </c>
      <c r="F6" s="281"/>
      <c r="G6" s="281"/>
      <c r="H6" s="281"/>
      <c r="I6" s="281"/>
      <c r="J6" s="281"/>
      <c r="K6" s="281"/>
      <c r="L6" s="281"/>
      <c r="M6" s="281"/>
      <c r="N6" s="281"/>
      <c r="O6" s="281"/>
      <c r="P6" s="281"/>
      <c r="Q6" s="281"/>
      <c r="R6" s="281"/>
      <c r="S6" s="281"/>
      <c r="T6" s="281"/>
      <c r="U6" s="281"/>
      <c r="V6" s="281"/>
      <c r="W6" s="281"/>
      <c r="X6" s="281"/>
      <c r="Y6" s="284"/>
    </row>
    <row r="7" spans="1:25" ht="33.75" customHeight="1" x14ac:dyDescent="0.15">
      <c r="A7" s="280" t="s">
        <v>20</v>
      </c>
      <c r="B7" s="281"/>
      <c r="C7" s="281"/>
      <c r="D7" s="282"/>
      <c r="E7" s="283"/>
      <c r="F7" s="281"/>
      <c r="G7" s="281"/>
      <c r="H7" s="281"/>
      <c r="I7" s="281"/>
      <c r="J7" s="281"/>
      <c r="K7" s="281"/>
      <c r="L7" s="281"/>
      <c r="M7" s="281"/>
      <c r="N7" s="281"/>
      <c r="O7" s="281"/>
      <c r="P7" s="281"/>
      <c r="Q7" s="281"/>
      <c r="R7" s="281"/>
      <c r="S7" s="281"/>
      <c r="T7" s="281"/>
      <c r="U7" s="281"/>
      <c r="V7" s="281"/>
      <c r="W7" s="281"/>
      <c r="X7" s="281"/>
      <c r="Y7" s="284"/>
    </row>
    <row r="8" spans="1:25" ht="33.75" customHeight="1" thickBot="1" x14ac:dyDescent="0.2">
      <c r="A8" s="274" t="s">
        <v>293</v>
      </c>
      <c r="B8" s="275"/>
      <c r="C8" s="275"/>
      <c r="D8" s="276"/>
      <c r="E8" s="275"/>
      <c r="F8" s="275"/>
      <c r="G8" s="275"/>
      <c r="H8" s="275"/>
      <c r="I8" s="275"/>
      <c r="J8" s="275"/>
      <c r="K8" s="275"/>
      <c r="L8" s="275"/>
      <c r="M8" s="275"/>
      <c r="N8" s="275"/>
      <c r="O8" s="275"/>
      <c r="P8" s="275"/>
      <c r="Q8" s="275"/>
      <c r="R8" s="275"/>
      <c r="S8" s="275"/>
      <c r="T8" s="275"/>
      <c r="U8" s="275"/>
      <c r="V8" s="275"/>
      <c r="W8" s="275"/>
      <c r="X8" s="275"/>
      <c r="Y8" s="279"/>
    </row>
    <row r="9" spans="1:25" ht="22.5" customHeight="1" x14ac:dyDescent="0.15">
      <c r="A9" s="236" t="s">
        <v>3</v>
      </c>
      <c r="B9" s="237"/>
      <c r="C9" s="237"/>
      <c r="D9" s="260"/>
      <c r="E9" s="9"/>
      <c r="F9" s="265" t="s">
        <v>24</v>
      </c>
      <c r="G9" s="265"/>
      <c r="H9" s="265"/>
      <c r="I9" s="9"/>
      <c r="J9" s="265" t="s">
        <v>25</v>
      </c>
      <c r="K9" s="265"/>
      <c r="L9" s="265"/>
      <c r="M9" s="265"/>
      <c r="N9" s="265"/>
      <c r="O9" s="265"/>
      <c r="P9" s="265"/>
      <c r="Q9" s="9"/>
      <c r="R9" s="265" t="s">
        <v>26</v>
      </c>
      <c r="S9" s="265"/>
      <c r="T9" s="265"/>
      <c r="U9" s="265"/>
      <c r="V9" s="266"/>
      <c r="W9" s="287" t="s">
        <v>23</v>
      </c>
      <c r="X9" s="237"/>
      <c r="Y9" s="277"/>
    </row>
    <row r="10" spans="1:25" ht="22.5" customHeight="1" x14ac:dyDescent="0.15">
      <c r="A10" s="238"/>
      <c r="B10" s="239"/>
      <c r="C10" s="239"/>
      <c r="D10" s="243"/>
      <c r="E10" s="6"/>
      <c r="F10" s="267" t="s">
        <v>27</v>
      </c>
      <c r="G10" s="267"/>
      <c r="H10" s="267"/>
      <c r="I10" s="267"/>
      <c r="J10" s="267"/>
      <c r="K10" s="267"/>
      <c r="L10" s="267"/>
      <c r="M10" s="267"/>
      <c r="N10" s="267"/>
      <c r="O10" s="267"/>
      <c r="P10" s="267"/>
      <c r="Q10" s="6"/>
      <c r="R10" s="179" t="s">
        <v>28</v>
      </c>
      <c r="S10" s="179"/>
      <c r="T10" s="179"/>
      <c r="U10" s="179"/>
      <c r="V10" s="268"/>
      <c r="W10" s="288"/>
      <c r="X10" s="239"/>
      <c r="Y10" s="289"/>
    </row>
    <row r="11" spans="1:25" ht="22.5" customHeight="1" x14ac:dyDescent="0.15">
      <c r="A11" s="238"/>
      <c r="B11" s="239"/>
      <c r="C11" s="239"/>
      <c r="D11" s="243"/>
      <c r="E11" s="10"/>
      <c r="F11" s="269" t="s">
        <v>29</v>
      </c>
      <c r="G11" s="269"/>
      <c r="H11" s="269"/>
      <c r="I11" s="269"/>
      <c r="J11" s="269"/>
      <c r="K11" s="269"/>
      <c r="L11" s="269"/>
      <c r="M11" s="269"/>
      <c r="N11" s="10"/>
      <c r="O11" s="179" t="s">
        <v>32</v>
      </c>
      <c r="P11" s="179"/>
      <c r="Q11" s="179"/>
      <c r="R11" s="179"/>
      <c r="S11" s="179"/>
      <c r="T11" s="179"/>
      <c r="U11" s="179"/>
      <c r="V11" s="268"/>
      <c r="W11" s="288"/>
      <c r="X11" s="239"/>
      <c r="Y11" s="289"/>
    </row>
    <row r="12" spans="1:25" ht="22.5" customHeight="1" x14ac:dyDescent="0.15">
      <c r="A12" s="238"/>
      <c r="B12" s="239"/>
      <c r="C12" s="239"/>
      <c r="D12" s="243"/>
      <c r="E12" s="7"/>
      <c r="F12" s="179" t="s">
        <v>31</v>
      </c>
      <c r="G12" s="179"/>
      <c r="H12" s="179"/>
      <c r="I12" s="179"/>
      <c r="J12" s="179"/>
      <c r="K12" s="179"/>
      <c r="L12" s="179"/>
      <c r="M12" s="179"/>
      <c r="N12" s="179"/>
      <c r="O12" s="179"/>
      <c r="P12" s="179"/>
      <c r="Q12" s="179"/>
      <c r="R12" s="179"/>
      <c r="S12" s="179"/>
      <c r="T12" s="179"/>
      <c r="U12" s="179"/>
      <c r="V12" s="179"/>
      <c r="W12" s="179"/>
      <c r="X12" s="179"/>
      <c r="Y12" s="180"/>
    </row>
    <row r="13" spans="1:25" ht="22.5" customHeight="1" thickBot="1" x14ac:dyDescent="0.2">
      <c r="A13" s="240"/>
      <c r="B13" s="241"/>
      <c r="C13" s="241"/>
      <c r="D13" s="261"/>
      <c r="E13" s="11"/>
      <c r="F13" s="285" t="s">
        <v>30</v>
      </c>
      <c r="G13" s="285"/>
      <c r="H13" s="285"/>
      <c r="I13" s="285"/>
      <c r="J13" s="285"/>
      <c r="K13" s="285"/>
      <c r="L13" s="285"/>
      <c r="M13" s="285"/>
      <c r="N13" s="285"/>
      <c r="O13" s="285"/>
      <c r="P13" s="285"/>
      <c r="Q13" s="285"/>
      <c r="R13" s="285"/>
      <c r="S13" s="285"/>
      <c r="T13" s="285"/>
      <c r="U13" s="285"/>
      <c r="V13" s="285"/>
      <c r="W13" s="285"/>
      <c r="X13" s="285"/>
      <c r="Y13" s="286"/>
    </row>
    <row r="14" spans="1:25" ht="22.5" customHeight="1" x14ac:dyDescent="0.15">
      <c r="A14" s="238" t="s">
        <v>4</v>
      </c>
      <c r="B14" s="239"/>
      <c r="C14" s="239"/>
      <c r="D14" s="239"/>
      <c r="E14" s="8"/>
      <c r="F14" s="177" t="str">
        <f>CONCATENATE("遺言者「",I32,"」の世帯全部の住民票")</f>
        <v>遺言者「0」の世帯全部の住民票</v>
      </c>
      <c r="G14" s="177"/>
      <c r="H14" s="177"/>
      <c r="I14" s="177"/>
      <c r="J14" s="177"/>
      <c r="K14" s="177"/>
      <c r="L14" s="177"/>
      <c r="M14" s="177"/>
      <c r="N14" s="177"/>
      <c r="O14" s="177"/>
      <c r="P14" s="177"/>
      <c r="Q14" s="177"/>
      <c r="R14" s="177"/>
      <c r="S14" s="177"/>
      <c r="T14" s="177"/>
      <c r="U14" s="177"/>
      <c r="V14" s="177"/>
      <c r="W14" s="177"/>
      <c r="X14" s="177"/>
      <c r="Y14" s="178"/>
    </row>
    <row r="15" spans="1:25" ht="22.5" customHeight="1" x14ac:dyDescent="0.15">
      <c r="A15" s="238"/>
      <c r="B15" s="239"/>
      <c r="C15" s="239"/>
      <c r="D15" s="239"/>
      <c r="E15" s="2"/>
      <c r="F15" s="175" t="str">
        <f>CONCATENATE("遺言者「",I32,"」の出生から現在までの戸籍謄本")</f>
        <v>遺言者「0」の出生から現在までの戸籍謄本</v>
      </c>
      <c r="G15" s="175"/>
      <c r="H15" s="175"/>
      <c r="I15" s="175"/>
      <c r="J15" s="175"/>
      <c r="K15" s="175"/>
      <c r="L15" s="175"/>
      <c r="M15" s="175"/>
      <c r="N15" s="175"/>
      <c r="O15" s="175"/>
      <c r="P15" s="175"/>
      <c r="Q15" s="175"/>
      <c r="R15" s="175"/>
      <c r="S15" s="175"/>
      <c r="T15" s="175"/>
      <c r="U15" s="175"/>
      <c r="V15" s="175"/>
      <c r="W15" s="175"/>
      <c r="X15" s="175"/>
      <c r="Y15" s="176"/>
    </row>
    <row r="16" spans="1:25" ht="22.5" customHeight="1" x14ac:dyDescent="0.15">
      <c r="A16" s="238"/>
      <c r="B16" s="239"/>
      <c r="C16" s="239"/>
      <c r="D16" s="239"/>
      <c r="E16" s="1"/>
      <c r="F16" s="175" t="str">
        <f>CONCATENATE("遺言者「",I32,"」の現在戸籍謄本")</f>
        <v>遺言者「0」の現在戸籍謄本</v>
      </c>
      <c r="G16" s="175"/>
      <c r="H16" s="175"/>
      <c r="I16" s="175"/>
      <c r="J16" s="175"/>
      <c r="K16" s="175"/>
      <c r="L16" s="175"/>
      <c r="M16" s="175"/>
      <c r="N16" s="175"/>
      <c r="O16" s="175"/>
      <c r="P16" s="175"/>
      <c r="Q16" s="175"/>
      <c r="R16" s="175"/>
      <c r="S16" s="175"/>
      <c r="T16" s="175"/>
      <c r="U16" s="175"/>
      <c r="V16" s="175"/>
      <c r="W16" s="175"/>
      <c r="X16" s="175"/>
      <c r="Y16" s="176"/>
    </row>
    <row r="17" spans="1:25" ht="22.5" customHeight="1" x14ac:dyDescent="0.15">
      <c r="A17" s="238"/>
      <c r="B17" s="239"/>
      <c r="C17" s="239"/>
      <c r="D17" s="239"/>
      <c r="E17" s="1"/>
      <c r="F17" s="175" t="s">
        <v>449</v>
      </c>
      <c r="G17" s="175"/>
      <c r="H17" s="175"/>
      <c r="I17" s="175"/>
      <c r="J17" s="175"/>
      <c r="K17" s="175"/>
      <c r="L17" s="175"/>
      <c r="M17" s="175"/>
      <c r="N17" s="175"/>
      <c r="O17" s="175"/>
      <c r="P17" s="175"/>
      <c r="Q17" s="175"/>
      <c r="R17" s="175"/>
      <c r="S17" s="175"/>
      <c r="T17" s="175"/>
      <c r="U17" s="175"/>
      <c r="V17" s="175"/>
      <c r="W17" s="175"/>
      <c r="X17" s="175"/>
      <c r="Y17" s="176"/>
    </row>
    <row r="18" spans="1:25" ht="22.5" customHeight="1" x14ac:dyDescent="0.15">
      <c r="A18" s="238"/>
      <c r="B18" s="239"/>
      <c r="C18" s="239"/>
      <c r="D18" s="239"/>
      <c r="E18" s="1"/>
      <c r="F18" s="179" t="s">
        <v>450</v>
      </c>
      <c r="G18" s="179"/>
      <c r="H18" s="179"/>
      <c r="I18" s="179"/>
      <c r="J18" s="179"/>
      <c r="K18" s="179"/>
      <c r="L18" s="179"/>
      <c r="M18" s="179"/>
      <c r="N18" s="179"/>
      <c r="O18" s="179"/>
      <c r="P18" s="179"/>
      <c r="Q18" s="179"/>
      <c r="R18" s="179"/>
      <c r="S18" s="179"/>
      <c r="T18" s="179"/>
      <c r="U18" s="179"/>
      <c r="V18" s="179"/>
      <c r="W18" s="179"/>
      <c r="X18" s="179"/>
      <c r="Y18" s="180"/>
    </row>
    <row r="19" spans="1:25" ht="22.5" customHeight="1" x14ac:dyDescent="0.15">
      <c r="A19" s="238"/>
      <c r="B19" s="239"/>
      <c r="C19" s="239"/>
      <c r="D19" s="239"/>
      <c r="E19" s="1"/>
      <c r="F19" s="179"/>
      <c r="G19" s="179"/>
      <c r="H19" s="179"/>
      <c r="I19" s="179"/>
      <c r="J19" s="179"/>
      <c r="K19" s="179"/>
      <c r="L19" s="179"/>
      <c r="M19" s="179"/>
      <c r="N19" s="179"/>
      <c r="O19" s="179"/>
      <c r="P19" s="179"/>
      <c r="Q19" s="179"/>
      <c r="R19" s="179"/>
      <c r="S19" s="179"/>
      <c r="T19" s="179"/>
      <c r="U19" s="179"/>
      <c r="V19" s="179"/>
      <c r="W19" s="179"/>
      <c r="X19" s="179"/>
      <c r="Y19" s="180"/>
    </row>
    <row r="20" spans="1:25" ht="22.5" customHeight="1" x14ac:dyDescent="0.15">
      <c r="A20" s="238"/>
      <c r="B20" s="239"/>
      <c r="C20" s="239"/>
      <c r="D20" s="239"/>
      <c r="E20" s="1"/>
      <c r="F20" s="175"/>
      <c r="G20" s="175"/>
      <c r="H20" s="175"/>
      <c r="I20" s="175"/>
      <c r="J20" s="175"/>
      <c r="K20" s="175"/>
      <c r="L20" s="175"/>
      <c r="M20" s="175"/>
      <c r="N20" s="175"/>
      <c r="O20" s="175"/>
      <c r="P20" s="175"/>
      <c r="Q20" s="175"/>
      <c r="R20" s="175"/>
      <c r="S20" s="175"/>
      <c r="T20" s="175"/>
      <c r="U20" s="175"/>
      <c r="V20" s="175"/>
      <c r="W20" s="175"/>
      <c r="X20" s="175"/>
      <c r="Y20" s="176"/>
    </row>
    <row r="21" spans="1:25" ht="22.5" customHeight="1" x14ac:dyDescent="0.15">
      <c r="A21" s="238"/>
      <c r="B21" s="239"/>
      <c r="C21" s="239"/>
      <c r="D21" s="239"/>
      <c r="E21" s="1"/>
      <c r="F21" s="175"/>
      <c r="G21" s="175"/>
      <c r="H21" s="175"/>
      <c r="I21" s="175"/>
      <c r="J21" s="175"/>
      <c r="K21" s="175"/>
      <c r="L21" s="175"/>
      <c r="M21" s="175"/>
      <c r="N21" s="175"/>
      <c r="O21" s="175"/>
      <c r="P21" s="175"/>
      <c r="Q21" s="175"/>
      <c r="R21" s="175"/>
      <c r="S21" s="175"/>
      <c r="T21" s="175"/>
      <c r="U21" s="175"/>
      <c r="V21" s="175"/>
      <c r="W21" s="175"/>
      <c r="X21" s="175"/>
      <c r="Y21" s="176"/>
    </row>
    <row r="22" spans="1:25" ht="22.5" customHeight="1" x14ac:dyDescent="0.15">
      <c r="A22" s="238"/>
      <c r="B22" s="239"/>
      <c r="C22" s="239"/>
      <c r="D22" s="239"/>
      <c r="E22" s="1"/>
      <c r="F22" s="207"/>
      <c r="G22" s="207"/>
      <c r="H22" s="207"/>
      <c r="I22" s="207"/>
      <c r="J22" s="207"/>
      <c r="K22" s="207"/>
      <c r="L22" s="207"/>
      <c r="M22" s="207"/>
      <c r="N22" s="207"/>
      <c r="O22" s="207"/>
      <c r="P22" s="207"/>
      <c r="Q22" s="207"/>
      <c r="R22" s="207"/>
      <c r="S22" s="207"/>
      <c r="T22" s="207"/>
      <c r="U22" s="207"/>
      <c r="V22" s="207"/>
      <c r="W22" s="207"/>
      <c r="X22" s="207"/>
      <c r="Y22" s="208"/>
    </row>
    <row r="23" spans="1:25" ht="22.5" customHeight="1" x14ac:dyDescent="0.15">
      <c r="A23" s="238"/>
      <c r="B23" s="239"/>
      <c r="C23" s="239"/>
      <c r="D23" s="239"/>
      <c r="E23" s="1"/>
      <c r="F23" s="290"/>
      <c r="G23" s="290"/>
      <c r="H23" s="290"/>
      <c r="I23" s="290"/>
      <c r="J23" s="290"/>
      <c r="K23" s="290"/>
      <c r="L23" s="290"/>
      <c r="M23" s="290"/>
      <c r="N23" s="290"/>
      <c r="O23" s="290"/>
      <c r="P23" s="290"/>
      <c r="Q23" s="290"/>
      <c r="R23" s="290"/>
      <c r="S23" s="290"/>
      <c r="T23" s="290"/>
      <c r="U23" s="290"/>
      <c r="V23" s="290"/>
      <c r="W23" s="290"/>
      <c r="X23" s="290"/>
      <c r="Y23" s="291"/>
    </row>
    <row r="24" spans="1:25" ht="22.5" customHeight="1" thickBot="1" x14ac:dyDescent="0.2">
      <c r="A24" s="238"/>
      <c r="B24" s="239"/>
      <c r="C24" s="239"/>
      <c r="D24" s="239"/>
      <c r="E24" s="1"/>
      <c r="F24" s="205"/>
      <c r="G24" s="205"/>
      <c r="H24" s="205"/>
      <c r="I24" s="205"/>
      <c r="J24" s="205"/>
      <c r="K24" s="205"/>
      <c r="L24" s="205"/>
      <c r="M24" s="205"/>
      <c r="N24" s="205"/>
      <c r="O24" s="205"/>
      <c r="P24" s="205"/>
      <c r="Q24" s="205"/>
      <c r="R24" s="205"/>
      <c r="S24" s="205"/>
      <c r="T24" s="205"/>
      <c r="U24" s="205"/>
      <c r="V24" s="205"/>
      <c r="W24" s="205"/>
      <c r="X24" s="205"/>
      <c r="Y24" s="206"/>
    </row>
    <row r="25" spans="1:25" ht="22.5" customHeight="1" x14ac:dyDescent="0.15">
      <c r="A25" s="236" t="s">
        <v>5</v>
      </c>
      <c r="B25" s="237"/>
      <c r="C25" s="237"/>
      <c r="D25" s="237"/>
      <c r="E25" s="262" t="s">
        <v>7</v>
      </c>
      <c r="F25" s="263"/>
      <c r="G25" s="263"/>
      <c r="H25" s="263"/>
      <c r="I25" s="263"/>
      <c r="J25" s="263"/>
      <c r="K25" s="263"/>
      <c r="L25" s="263"/>
      <c r="M25" s="263"/>
      <c r="N25" s="263"/>
      <c r="O25" s="263"/>
      <c r="P25" s="263"/>
      <c r="Q25" s="263"/>
      <c r="R25" s="263"/>
      <c r="S25" s="263"/>
      <c r="T25" s="263"/>
      <c r="U25" s="263"/>
      <c r="V25" s="263"/>
      <c r="W25" s="263"/>
      <c r="X25" s="263"/>
      <c r="Y25" s="264"/>
    </row>
    <row r="26" spans="1:25" ht="22.5" customHeight="1" x14ac:dyDescent="0.15">
      <c r="A26" s="238"/>
      <c r="B26" s="239"/>
      <c r="C26" s="239"/>
      <c r="D26" s="239"/>
      <c r="E26" s="174" t="s">
        <v>6</v>
      </c>
      <c r="F26" s="175"/>
      <c r="G26" s="175"/>
      <c r="H26" s="175"/>
      <c r="I26" s="175"/>
      <c r="J26" s="175"/>
      <c r="K26" s="175"/>
      <c r="L26" s="175"/>
      <c r="M26" s="175"/>
      <c r="N26" s="175"/>
      <c r="O26" s="175"/>
      <c r="P26" s="175"/>
      <c r="Q26" s="175"/>
      <c r="R26" s="175"/>
      <c r="S26" s="175"/>
      <c r="T26" s="175"/>
      <c r="U26" s="175"/>
      <c r="V26" s="175"/>
      <c r="W26" s="175"/>
      <c r="X26" s="175"/>
      <c r="Y26" s="176"/>
    </row>
    <row r="27" spans="1:25" ht="22.5" customHeight="1" x14ac:dyDescent="0.15">
      <c r="A27" s="238"/>
      <c r="B27" s="239"/>
      <c r="C27" s="239"/>
      <c r="D27" s="239"/>
      <c r="E27" s="256" t="s">
        <v>8</v>
      </c>
      <c r="F27" s="257"/>
      <c r="G27" s="257"/>
      <c r="H27" s="257"/>
      <c r="I27" s="257"/>
      <c r="J27" s="257"/>
      <c r="K27" s="257"/>
      <c r="L27" s="257"/>
      <c r="M27" s="257"/>
      <c r="N27" s="257"/>
      <c r="O27" s="257"/>
      <c r="P27" s="257"/>
      <c r="Q27" s="257"/>
      <c r="R27" s="257"/>
      <c r="S27" s="257"/>
      <c r="T27" s="257"/>
      <c r="U27" s="257"/>
      <c r="V27" s="257"/>
      <c r="W27" s="257"/>
      <c r="X27" s="257"/>
      <c r="Y27" s="258"/>
    </row>
    <row r="28" spans="1:25" ht="22.5" customHeight="1" x14ac:dyDescent="0.15">
      <c r="A28" s="238"/>
      <c r="B28" s="239"/>
      <c r="C28" s="239"/>
      <c r="D28" s="239"/>
      <c r="E28" s="174" t="s">
        <v>9</v>
      </c>
      <c r="F28" s="175"/>
      <c r="G28" s="175"/>
      <c r="H28" s="175"/>
      <c r="I28" s="175"/>
      <c r="J28" s="175"/>
      <c r="K28" s="175"/>
      <c r="L28" s="175"/>
      <c r="M28" s="175"/>
      <c r="N28" s="175"/>
      <c r="O28" s="175"/>
      <c r="P28" s="175"/>
      <c r="Q28" s="175"/>
      <c r="R28" s="175"/>
      <c r="S28" s="175"/>
      <c r="T28" s="175"/>
      <c r="U28" s="175"/>
      <c r="V28" s="175"/>
      <c r="W28" s="175"/>
      <c r="X28" s="175"/>
      <c r="Y28" s="176"/>
    </row>
    <row r="29" spans="1:25" ht="22.5" customHeight="1" x14ac:dyDescent="0.15">
      <c r="A29" s="238"/>
      <c r="B29" s="239"/>
      <c r="C29" s="239"/>
      <c r="D29" s="239"/>
      <c r="E29" s="174" t="s">
        <v>10</v>
      </c>
      <c r="F29" s="175"/>
      <c r="G29" s="175"/>
      <c r="H29" s="175"/>
      <c r="I29" s="175"/>
      <c r="J29" s="175"/>
      <c r="K29" s="175"/>
      <c r="L29" s="175"/>
      <c r="M29" s="175"/>
      <c r="N29" s="175"/>
      <c r="O29" s="175"/>
      <c r="P29" s="175"/>
      <c r="Q29" s="175"/>
      <c r="R29" s="175"/>
      <c r="S29" s="175"/>
      <c r="T29" s="175"/>
      <c r="U29" s="175"/>
      <c r="V29" s="175"/>
      <c r="W29" s="175"/>
      <c r="X29" s="175"/>
      <c r="Y29" s="176"/>
    </row>
    <row r="30" spans="1:25" ht="22.5" customHeight="1" x14ac:dyDescent="0.15">
      <c r="A30" s="238"/>
      <c r="B30" s="239"/>
      <c r="C30" s="239"/>
      <c r="D30" s="239"/>
      <c r="E30" s="174" t="s">
        <v>302</v>
      </c>
      <c r="F30" s="175"/>
      <c r="G30" s="175"/>
      <c r="H30" s="175"/>
      <c r="I30" s="205"/>
      <c r="J30" s="205"/>
      <c r="K30" s="205"/>
      <c r="L30" s="205"/>
      <c r="M30" s="205"/>
      <c r="N30" s="205"/>
      <c r="O30" s="205"/>
      <c r="P30" s="205"/>
      <c r="Q30" s="205"/>
      <c r="R30" s="205"/>
      <c r="S30" s="205"/>
      <c r="T30" s="205"/>
      <c r="U30" s="205"/>
      <c r="V30" s="205"/>
      <c r="W30" s="205"/>
      <c r="X30" s="205"/>
      <c r="Y30" s="206"/>
    </row>
    <row r="31" spans="1:25" ht="15" customHeight="1" x14ac:dyDescent="0.15">
      <c r="A31" s="238"/>
      <c r="B31" s="239"/>
      <c r="C31" s="239"/>
      <c r="D31" s="239"/>
      <c r="E31" s="253" t="s">
        <v>451</v>
      </c>
      <c r="F31" s="254"/>
      <c r="G31" s="254"/>
      <c r="H31" s="255"/>
      <c r="I31" s="190" t="str">
        <f>IF(基本画面!D23=0,"",基本画面!D23)</f>
        <v/>
      </c>
      <c r="J31" s="191"/>
      <c r="K31" s="191"/>
      <c r="L31" s="191"/>
      <c r="M31" s="191"/>
      <c r="N31" s="191"/>
      <c r="O31" s="191"/>
      <c r="P31" s="191"/>
      <c r="Q31" s="195"/>
      <c r="R31" s="190" t="s">
        <v>12</v>
      </c>
      <c r="S31" s="191"/>
      <c r="T31" s="191"/>
      <c r="U31" s="195"/>
      <c r="V31" s="191" t="s">
        <v>11</v>
      </c>
      <c r="W31" s="191"/>
      <c r="X31" s="191"/>
      <c r="Y31" s="196"/>
    </row>
    <row r="32" spans="1:25" ht="26.25" customHeight="1" thickBot="1" x14ac:dyDescent="0.2">
      <c r="A32" s="240"/>
      <c r="B32" s="241"/>
      <c r="C32" s="241"/>
      <c r="D32" s="241"/>
      <c r="E32" s="223"/>
      <c r="F32" s="224"/>
      <c r="G32" s="224"/>
      <c r="H32" s="225"/>
      <c r="I32" s="215">
        <f>基本画面!C23</f>
        <v>0</v>
      </c>
      <c r="J32" s="216"/>
      <c r="K32" s="216"/>
      <c r="L32" s="216"/>
      <c r="M32" s="216"/>
      <c r="N32" s="216"/>
      <c r="O32" s="216"/>
      <c r="P32" s="216"/>
      <c r="Q32" s="217"/>
      <c r="R32" s="197" t="str">
        <f>IF(基本画面!E23=0,"",基本画面!E23)</f>
        <v/>
      </c>
      <c r="S32" s="198"/>
      <c r="T32" s="198"/>
      <c r="U32" s="199"/>
      <c r="V32" s="250" t="str">
        <f>IF(基本画面!F23=0,"",基本画面!F23)</f>
        <v/>
      </c>
      <c r="W32" s="251"/>
      <c r="X32" s="251"/>
      <c r="Y32" s="252"/>
    </row>
    <row r="33" spans="1:25" ht="22.5" customHeight="1" x14ac:dyDescent="0.15">
      <c r="A33" s="242" t="s">
        <v>13</v>
      </c>
      <c r="B33" s="239"/>
      <c r="C33" s="239"/>
      <c r="D33" s="243"/>
      <c r="E33" s="3"/>
      <c r="F33" s="244" t="s">
        <v>456</v>
      </c>
      <c r="G33" s="244"/>
      <c r="H33" s="244"/>
      <c r="I33" s="244"/>
      <c r="J33" s="244"/>
      <c r="K33" s="244"/>
      <c r="L33" s="244"/>
      <c r="M33" s="244"/>
      <c r="N33" s="244"/>
      <c r="O33" s="244"/>
      <c r="P33" s="244"/>
      <c r="Q33" s="244"/>
      <c r="R33" s="244"/>
      <c r="S33" s="244"/>
      <c r="T33" s="244"/>
      <c r="U33" s="244"/>
      <c r="V33" s="244"/>
      <c r="W33" s="244"/>
      <c r="X33" s="244"/>
      <c r="Y33" s="245"/>
    </row>
    <row r="34" spans="1:25" ht="22.5" customHeight="1" x14ac:dyDescent="0.15">
      <c r="A34" s="238"/>
      <c r="B34" s="239"/>
      <c r="C34" s="239"/>
      <c r="D34" s="243"/>
      <c r="E34" s="4"/>
      <c r="F34" s="246" t="s">
        <v>458</v>
      </c>
      <c r="G34" s="246"/>
      <c r="H34" s="246"/>
      <c r="I34" s="246"/>
      <c r="J34" s="246"/>
      <c r="K34" s="246"/>
      <c r="L34" s="246"/>
      <c r="M34" s="246"/>
      <c r="N34" s="246"/>
      <c r="O34" s="246"/>
      <c r="P34" s="246"/>
      <c r="Q34" s="246"/>
      <c r="R34" s="246"/>
      <c r="S34" s="246"/>
      <c r="T34" s="246"/>
      <c r="U34" s="246"/>
      <c r="V34" s="246"/>
      <c r="W34" s="246"/>
      <c r="X34" s="246"/>
      <c r="Y34" s="247"/>
    </row>
    <row r="35" spans="1:25" ht="22.5" customHeight="1" x14ac:dyDescent="0.15">
      <c r="A35" s="238"/>
      <c r="B35" s="239"/>
      <c r="C35" s="239"/>
      <c r="D35" s="243"/>
      <c r="E35" s="3"/>
      <c r="F35" s="218"/>
      <c r="G35" s="218"/>
      <c r="H35" s="218"/>
      <c r="I35" s="218"/>
      <c r="J35" s="218"/>
      <c r="K35" s="218"/>
      <c r="L35" s="218"/>
      <c r="M35" s="218"/>
      <c r="N35" s="218"/>
      <c r="O35" s="218"/>
      <c r="P35" s="218"/>
      <c r="Q35" s="218"/>
      <c r="R35" s="218"/>
      <c r="S35" s="218"/>
      <c r="T35" s="218"/>
      <c r="U35" s="218"/>
      <c r="V35" s="218"/>
      <c r="W35" s="218"/>
      <c r="X35" s="218"/>
      <c r="Y35" s="219"/>
    </row>
    <row r="36" spans="1:25" ht="22.5" customHeight="1" thickBot="1" x14ac:dyDescent="0.2">
      <c r="A36" s="238"/>
      <c r="B36" s="239"/>
      <c r="C36" s="239"/>
      <c r="D36" s="243"/>
      <c r="E36" s="5"/>
      <c r="F36" s="248"/>
      <c r="G36" s="248"/>
      <c r="H36" s="248"/>
      <c r="I36" s="248"/>
      <c r="J36" s="248"/>
      <c r="K36" s="248"/>
      <c r="L36" s="248"/>
      <c r="M36" s="248"/>
      <c r="N36" s="248"/>
      <c r="O36" s="248"/>
      <c r="P36" s="248"/>
      <c r="Q36" s="248"/>
      <c r="R36" s="248"/>
      <c r="S36" s="248"/>
      <c r="T36" s="248"/>
      <c r="U36" s="248"/>
      <c r="V36" s="248"/>
      <c r="W36" s="248"/>
      <c r="X36" s="248"/>
      <c r="Y36" s="249"/>
    </row>
    <row r="37" spans="1:25" ht="27" customHeight="1" x14ac:dyDescent="0.15">
      <c r="A37" s="181" t="s">
        <v>14</v>
      </c>
      <c r="B37" s="184" t="s">
        <v>16</v>
      </c>
      <c r="C37" s="185"/>
      <c r="D37" s="185"/>
      <c r="E37" s="187" t="str">
        <f>基本画面!H23&amp;"　"&amp;基本画面!I23</f>
        <v>　</v>
      </c>
      <c r="F37" s="188"/>
      <c r="G37" s="188"/>
      <c r="H37" s="188"/>
      <c r="I37" s="188"/>
      <c r="J37" s="188"/>
      <c r="K37" s="188"/>
      <c r="L37" s="188"/>
      <c r="M37" s="188"/>
      <c r="N37" s="188"/>
      <c r="O37" s="188"/>
      <c r="P37" s="188"/>
      <c r="Q37" s="188"/>
      <c r="R37" s="188"/>
      <c r="S37" s="188"/>
      <c r="T37" s="188"/>
      <c r="U37" s="188"/>
      <c r="V37" s="188"/>
      <c r="W37" s="188"/>
      <c r="X37" s="188"/>
      <c r="Y37" s="189"/>
    </row>
    <row r="38" spans="1:25" ht="15" customHeight="1" x14ac:dyDescent="0.15">
      <c r="A38" s="182"/>
      <c r="B38" s="190" t="s">
        <v>17</v>
      </c>
      <c r="C38" s="191"/>
      <c r="D38" s="191"/>
      <c r="E38" s="190" t="str">
        <f>IF(基本画面!D23=0,"",基本画面!D23)</f>
        <v/>
      </c>
      <c r="F38" s="191"/>
      <c r="G38" s="191"/>
      <c r="H38" s="191"/>
      <c r="I38" s="191"/>
      <c r="J38" s="191"/>
      <c r="K38" s="191"/>
      <c r="L38" s="191"/>
      <c r="M38" s="191"/>
      <c r="N38" s="191"/>
      <c r="O38" s="191"/>
      <c r="P38" s="191"/>
      <c r="Q38" s="191"/>
      <c r="R38" s="190" t="s">
        <v>12</v>
      </c>
      <c r="S38" s="191"/>
      <c r="T38" s="191"/>
      <c r="U38" s="195"/>
      <c r="V38" s="190" t="s">
        <v>451</v>
      </c>
      <c r="W38" s="191"/>
      <c r="X38" s="191"/>
      <c r="Y38" s="196"/>
    </row>
    <row r="39" spans="1:25" ht="26.25" customHeight="1" thickBot="1" x14ac:dyDescent="0.2">
      <c r="A39" s="183"/>
      <c r="B39" s="203"/>
      <c r="C39" s="204"/>
      <c r="D39" s="204"/>
      <c r="E39" s="192" t="str">
        <f>IF(基本画面!C23=0,"",基本画面!C23)</f>
        <v/>
      </c>
      <c r="F39" s="193"/>
      <c r="G39" s="193"/>
      <c r="H39" s="193"/>
      <c r="I39" s="193"/>
      <c r="J39" s="193"/>
      <c r="K39" s="193"/>
      <c r="L39" s="193"/>
      <c r="M39" s="193"/>
      <c r="N39" s="193"/>
      <c r="O39" s="193"/>
      <c r="P39" s="193"/>
      <c r="Q39" s="194"/>
      <c r="R39" s="197" t="str">
        <f>IF(基本画面!E23=0,"",基本画面!E23)</f>
        <v/>
      </c>
      <c r="S39" s="198"/>
      <c r="T39" s="198"/>
      <c r="U39" s="199"/>
      <c r="V39" s="200" t="s">
        <v>452</v>
      </c>
      <c r="W39" s="201"/>
      <c r="X39" s="201"/>
      <c r="Y39" s="202"/>
    </row>
    <row r="40" spans="1:25" ht="22.5" customHeight="1" x14ac:dyDescent="0.15">
      <c r="A40" s="181" t="s">
        <v>15</v>
      </c>
      <c r="B40" s="226" t="s">
        <v>18</v>
      </c>
      <c r="C40" s="227"/>
      <c r="D40" s="227"/>
      <c r="E40" s="230" t="s">
        <v>22</v>
      </c>
      <c r="F40" s="171"/>
      <c r="G40" s="171"/>
      <c r="H40" s="171"/>
      <c r="I40" s="171"/>
      <c r="J40" s="171"/>
      <c r="K40" s="171"/>
      <c r="L40" s="171"/>
      <c r="M40" s="171"/>
      <c r="N40" s="171"/>
      <c r="O40" s="171"/>
      <c r="P40" s="171"/>
      <c r="Q40" s="171"/>
      <c r="R40" s="171"/>
      <c r="S40" s="171"/>
      <c r="T40" s="171"/>
      <c r="U40" s="231"/>
      <c r="V40" s="227" t="s">
        <v>453</v>
      </c>
      <c r="W40" s="227"/>
      <c r="X40" s="227"/>
      <c r="Y40" s="235"/>
    </row>
    <row r="41" spans="1:25" ht="22.5" customHeight="1" x14ac:dyDescent="0.15">
      <c r="A41" s="182"/>
      <c r="B41" s="226"/>
      <c r="C41" s="227"/>
      <c r="D41" s="227"/>
      <c r="E41" s="232"/>
      <c r="F41" s="233"/>
      <c r="G41" s="233"/>
      <c r="H41" s="233"/>
      <c r="I41" s="233"/>
      <c r="J41" s="233"/>
      <c r="K41" s="233"/>
      <c r="L41" s="233"/>
      <c r="M41" s="233"/>
      <c r="N41" s="233"/>
      <c r="O41" s="233"/>
      <c r="P41" s="233"/>
      <c r="Q41" s="233"/>
      <c r="R41" s="233"/>
      <c r="S41" s="233"/>
      <c r="T41" s="233"/>
      <c r="U41" s="234"/>
      <c r="V41" s="190" t="s">
        <v>454</v>
      </c>
      <c r="W41" s="191"/>
      <c r="X41" s="191"/>
      <c r="Y41" s="196"/>
    </row>
    <row r="42" spans="1:25" ht="22.5" customHeight="1" x14ac:dyDescent="0.15">
      <c r="A42" s="182"/>
      <c r="B42" s="190" t="s">
        <v>446</v>
      </c>
      <c r="C42" s="191"/>
      <c r="D42" s="191"/>
      <c r="E42" s="191"/>
      <c r="F42" s="191"/>
      <c r="G42" s="191"/>
      <c r="H42" s="191"/>
      <c r="I42" s="191"/>
      <c r="J42" s="191"/>
      <c r="K42" s="191"/>
      <c r="L42" s="191"/>
      <c r="M42" s="191"/>
      <c r="N42" s="191"/>
      <c r="O42" s="191"/>
      <c r="P42" s="191"/>
      <c r="Q42" s="191"/>
      <c r="R42" s="191"/>
      <c r="S42" s="190"/>
      <c r="T42" s="191"/>
      <c r="U42" s="195"/>
      <c r="V42" s="190" t="s">
        <v>19</v>
      </c>
      <c r="W42" s="191"/>
      <c r="X42" s="191"/>
      <c r="Y42" s="196"/>
    </row>
    <row r="43" spans="1:25" ht="22.5" customHeight="1" x14ac:dyDescent="0.15">
      <c r="A43" s="182"/>
      <c r="B43" s="220" t="s">
        <v>445</v>
      </c>
      <c r="C43" s="221"/>
      <c r="D43" s="221"/>
      <c r="E43" s="221"/>
      <c r="F43" s="221"/>
      <c r="G43" s="221"/>
      <c r="H43" s="221"/>
      <c r="I43" s="221"/>
      <c r="J43" s="221"/>
      <c r="K43" s="221"/>
      <c r="L43" s="221"/>
      <c r="M43" s="221"/>
      <c r="N43" s="221"/>
      <c r="O43" s="221"/>
      <c r="P43" s="221"/>
      <c r="Q43" s="221"/>
      <c r="R43" s="222"/>
      <c r="S43" s="226"/>
      <c r="T43" s="227"/>
      <c r="U43" s="228"/>
      <c r="V43" s="209" t="str">
        <f>VLOOKUP(V44,基本画面!$G$72:$H$150,2,FALSE)</f>
        <v>050-6861-5751</v>
      </c>
      <c r="W43" s="210"/>
      <c r="X43" s="210"/>
      <c r="Y43" s="211"/>
    </row>
    <row r="44" spans="1:25" ht="22.5" customHeight="1" thickBot="1" x14ac:dyDescent="0.2">
      <c r="A44" s="183"/>
      <c r="B44" s="223"/>
      <c r="C44" s="224"/>
      <c r="D44" s="224"/>
      <c r="E44" s="224"/>
      <c r="F44" s="224"/>
      <c r="G44" s="224"/>
      <c r="H44" s="224"/>
      <c r="I44" s="224"/>
      <c r="J44" s="224"/>
      <c r="K44" s="224"/>
      <c r="L44" s="224"/>
      <c r="M44" s="224"/>
      <c r="N44" s="224"/>
      <c r="O44" s="224"/>
      <c r="P44" s="224"/>
      <c r="Q44" s="224"/>
      <c r="R44" s="225"/>
      <c r="S44" s="203"/>
      <c r="T44" s="204"/>
      <c r="U44" s="229"/>
      <c r="V44" s="212" t="str">
        <f>基本画面!E43</f>
        <v>増田</v>
      </c>
      <c r="W44" s="213"/>
      <c r="X44" s="213"/>
      <c r="Y44" s="214"/>
    </row>
    <row r="45" spans="1:25" ht="22.5" customHeight="1" x14ac:dyDescent="0.15">
      <c r="A45" s="172" t="s">
        <v>550</v>
      </c>
      <c r="B45" s="172"/>
      <c r="C45" s="172"/>
      <c r="D45" s="172"/>
      <c r="E45" s="172"/>
      <c r="F45" s="172"/>
      <c r="G45" s="172"/>
      <c r="H45" s="172"/>
      <c r="I45" s="172"/>
      <c r="J45" s="172"/>
      <c r="K45" s="172"/>
      <c r="L45" s="172"/>
      <c r="M45" s="172"/>
      <c r="N45" s="172"/>
      <c r="O45" s="172"/>
      <c r="P45" s="172"/>
      <c r="Q45" s="172"/>
      <c r="R45" s="172"/>
      <c r="S45" s="172"/>
      <c r="T45" s="172"/>
      <c r="U45" s="172"/>
      <c r="V45" s="171" t="s">
        <v>21</v>
      </c>
      <c r="W45" s="171"/>
      <c r="X45" s="171"/>
      <c r="Y45" s="171"/>
    </row>
    <row r="46" spans="1:25" ht="22.5" customHeight="1" x14ac:dyDescent="0.15">
      <c r="A46" s="173" t="str">
        <f>IFERROR("従たる事務所（返送先）："&amp;VLOOKUP(基本画面!$D$43,基本画面!$N$73:$T$140,3,FALSE),"")</f>
        <v/>
      </c>
      <c r="B46" s="173"/>
      <c r="C46" s="173"/>
      <c r="D46" s="173"/>
      <c r="E46" s="173"/>
      <c r="F46" s="173"/>
      <c r="G46" s="173"/>
      <c r="H46" s="173"/>
      <c r="I46" s="173"/>
      <c r="J46" s="173"/>
      <c r="K46" s="173"/>
      <c r="L46" s="173"/>
      <c r="M46" s="173"/>
      <c r="N46" s="173"/>
      <c r="O46" s="173"/>
      <c r="P46" s="173"/>
      <c r="Q46" s="173"/>
      <c r="R46" s="173"/>
      <c r="S46" s="173"/>
      <c r="T46" s="173"/>
      <c r="U46" s="173"/>
      <c r="V46" s="186">
        <f>基本画面!B9</f>
        <v>0</v>
      </c>
      <c r="W46" s="186"/>
      <c r="X46" s="186"/>
      <c r="Y46" s="186"/>
    </row>
  </sheetData>
  <mergeCells count="79">
    <mergeCell ref="F24:Y24"/>
    <mergeCell ref="W9:Y11"/>
    <mergeCell ref="F23:Y23"/>
    <mergeCell ref="A1:Y2"/>
    <mergeCell ref="A4:D4"/>
    <mergeCell ref="A5:D5"/>
    <mergeCell ref="A8:D8"/>
    <mergeCell ref="E4:Y4"/>
    <mergeCell ref="E5:Y5"/>
    <mergeCell ref="E8:Y8"/>
    <mergeCell ref="A6:D6"/>
    <mergeCell ref="E6:Y6"/>
    <mergeCell ref="A7:D7"/>
    <mergeCell ref="E7:Y7"/>
    <mergeCell ref="A40:A44"/>
    <mergeCell ref="A3:Y3"/>
    <mergeCell ref="A9:D13"/>
    <mergeCell ref="A14:D24"/>
    <mergeCell ref="E25:Y25"/>
    <mergeCell ref="E26:Y26"/>
    <mergeCell ref="F9:H9"/>
    <mergeCell ref="J9:P9"/>
    <mergeCell ref="R9:V9"/>
    <mergeCell ref="F10:P10"/>
    <mergeCell ref="R10:V10"/>
    <mergeCell ref="F11:M11"/>
    <mergeCell ref="F20:Y20"/>
    <mergeCell ref="F12:Y12"/>
    <mergeCell ref="O11:V11"/>
    <mergeCell ref="F13:Y13"/>
    <mergeCell ref="A25:D32"/>
    <mergeCell ref="A33:D36"/>
    <mergeCell ref="F33:Y33"/>
    <mergeCell ref="F34:Y34"/>
    <mergeCell ref="F36:Y36"/>
    <mergeCell ref="V31:Y31"/>
    <mergeCell ref="V32:Y32"/>
    <mergeCell ref="R31:U31"/>
    <mergeCell ref="R32:U32"/>
    <mergeCell ref="E29:Y29"/>
    <mergeCell ref="E31:H32"/>
    <mergeCell ref="E27:Y27"/>
    <mergeCell ref="B38:D39"/>
    <mergeCell ref="E30:Y30"/>
    <mergeCell ref="F22:Y22"/>
    <mergeCell ref="V43:Y43"/>
    <mergeCell ref="V44:Y44"/>
    <mergeCell ref="I31:Q31"/>
    <mergeCell ref="I32:Q32"/>
    <mergeCell ref="F35:Y35"/>
    <mergeCell ref="V41:Y41"/>
    <mergeCell ref="B42:R42"/>
    <mergeCell ref="B43:R44"/>
    <mergeCell ref="S42:U44"/>
    <mergeCell ref="V42:Y42"/>
    <mergeCell ref="B40:D41"/>
    <mergeCell ref="E40:U41"/>
    <mergeCell ref="V40:Y40"/>
    <mergeCell ref="E39:Q39"/>
    <mergeCell ref="R38:U38"/>
    <mergeCell ref="V38:Y38"/>
    <mergeCell ref="R39:U39"/>
    <mergeCell ref="V39:Y39"/>
    <mergeCell ref="V45:Y45"/>
    <mergeCell ref="A45:U45"/>
    <mergeCell ref="A46:U46"/>
    <mergeCell ref="E28:Y28"/>
    <mergeCell ref="F14:Y14"/>
    <mergeCell ref="F15:Y15"/>
    <mergeCell ref="F16:Y16"/>
    <mergeCell ref="F17:Y17"/>
    <mergeCell ref="F18:Y18"/>
    <mergeCell ref="F19:Y19"/>
    <mergeCell ref="A37:A39"/>
    <mergeCell ref="B37:D37"/>
    <mergeCell ref="F21:Y21"/>
    <mergeCell ref="V46:Y46"/>
    <mergeCell ref="E37:Y37"/>
    <mergeCell ref="E38:Q38"/>
  </mergeCells>
  <phoneticPr fontId="1"/>
  <printOptions horizontalCentered="1"/>
  <pageMargins left="0" right="0" top="0" bottom="0" header="0" footer="0"/>
  <pageSetup paperSize="9" scale="8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83" r:id="rId4" name="Check Box 59">
              <controlPr defaultSize="0" autoFill="0" autoLine="0" autoPict="0">
                <anchor moveWithCells="1">
                  <from>
                    <xdr:col>4</xdr:col>
                    <xdr:colOff>38100</xdr:colOff>
                    <xdr:row>13</xdr:row>
                    <xdr:rowOff>19050</xdr:rowOff>
                  </from>
                  <to>
                    <xdr:col>4</xdr:col>
                    <xdr:colOff>285750</xdr:colOff>
                    <xdr:row>13</xdr:row>
                    <xdr:rowOff>266700</xdr:rowOff>
                  </to>
                </anchor>
              </controlPr>
            </control>
          </mc:Choice>
        </mc:AlternateContent>
        <mc:AlternateContent xmlns:mc="http://schemas.openxmlformats.org/markup-compatibility/2006">
          <mc:Choice Requires="x14">
            <control shapeId="1097" r:id="rId5" name="Check Box 73">
              <controlPr defaultSize="0" autoFill="0" autoLine="0" autoPict="0">
                <anchor moveWithCells="1">
                  <from>
                    <xdr:col>4</xdr:col>
                    <xdr:colOff>38100</xdr:colOff>
                    <xdr:row>14</xdr:row>
                    <xdr:rowOff>19050</xdr:rowOff>
                  </from>
                  <to>
                    <xdr:col>5</xdr:col>
                    <xdr:colOff>0</xdr:colOff>
                    <xdr:row>14</xdr:row>
                    <xdr:rowOff>266700</xdr:rowOff>
                  </to>
                </anchor>
              </controlPr>
            </control>
          </mc:Choice>
        </mc:AlternateContent>
        <mc:AlternateContent xmlns:mc="http://schemas.openxmlformats.org/markup-compatibility/2006">
          <mc:Choice Requires="x14">
            <control shapeId="1098" r:id="rId6" name="Check Box 74">
              <controlPr defaultSize="0" autoFill="0" autoLine="0" autoPict="0">
                <anchor moveWithCells="1">
                  <from>
                    <xdr:col>4</xdr:col>
                    <xdr:colOff>38100</xdr:colOff>
                    <xdr:row>15</xdr:row>
                    <xdr:rowOff>19050</xdr:rowOff>
                  </from>
                  <to>
                    <xdr:col>5</xdr:col>
                    <xdr:colOff>0</xdr:colOff>
                    <xdr:row>15</xdr:row>
                    <xdr:rowOff>266700</xdr:rowOff>
                  </to>
                </anchor>
              </controlPr>
            </control>
          </mc:Choice>
        </mc:AlternateContent>
        <mc:AlternateContent xmlns:mc="http://schemas.openxmlformats.org/markup-compatibility/2006">
          <mc:Choice Requires="x14">
            <control shapeId="1099" r:id="rId7" name="Check Box 75">
              <controlPr defaultSize="0" autoFill="0" autoLine="0" autoPict="0">
                <anchor moveWithCells="1">
                  <from>
                    <xdr:col>4</xdr:col>
                    <xdr:colOff>38100</xdr:colOff>
                    <xdr:row>16</xdr:row>
                    <xdr:rowOff>19050</xdr:rowOff>
                  </from>
                  <to>
                    <xdr:col>5</xdr:col>
                    <xdr:colOff>0</xdr:colOff>
                    <xdr:row>16</xdr:row>
                    <xdr:rowOff>266700</xdr:rowOff>
                  </to>
                </anchor>
              </controlPr>
            </control>
          </mc:Choice>
        </mc:AlternateContent>
        <mc:AlternateContent xmlns:mc="http://schemas.openxmlformats.org/markup-compatibility/2006">
          <mc:Choice Requires="x14">
            <control shapeId="1100" r:id="rId8" name="Check Box 76">
              <controlPr defaultSize="0" autoFill="0" autoLine="0" autoPict="0">
                <anchor moveWithCells="1">
                  <from>
                    <xdr:col>4</xdr:col>
                    <xdr:colOff>38100</xdr:colOff>
                    <xdr:row>17</xdr:row>
                    <xdr:rowOff>19050</xdr:rowOff>
                  </from>
                  <to>
                    <xdr:col>5</xdr:col>
                    <xdr:colOff>0</xdr:colOff>
                    <xdr:row>17</xdr:row>
                    <xdr:rowOff>266700</xdr:rowOff>
                  </to>
                </anchor>
              </controlPr>
            </control>
          </mc:Choice>
        </mc:AlternateContent>
        <mc:AlternateContent xmlns:mc="http://schemas.openxmlformats.org/markup-compatibility/2006">
          <mc:Choice Requires="x14">
            <control shapeId="1101" r:id="rId9" name="Check Box 77">
              <controlPr defaultSize="0" autoFill="0" autoLine="0" autoPict="0">
                <anchor moveWithCells="1">
                  <from>
                    <xdr:col>4</xdr:col>
                    <xdr:colOff>38100</xdr:colOff>
                    <xdr:row>18</xdr:row>
                    <xdr:rowOff>19050</xdr:rowOff>
                  </from>
                  <to>
                    <xdr:col>5</xdr:col>
                    <xdr:colOff>0</xdr:colOff>
                    <xdr:row>18</xdr:row>
                    <xdr:rowOff>266700</xdr:rowOff>
                  </to>
                </anchor>
              </controlPr>
            </control>
          </mc:Choice>
        </mc:AlternateContent>
        <mc:AlternateContent xmlns:mc="http://schemas.openxmlformats.org/markup-compatibility/2006">
          <mc:Choice Requires="x14">
            <control shapeId="1102" r:id="rId10" name="Check Box 78">
              <controlPr defaultSize="0" autoFill="0" autoLine="0" autoPict="0">
                <anchor moveWithCells="1">
                  <from>
                    <xdr:col>4</xdr:col>
                    <xdr:colOff>38100</xdr:colOff>
                    <xdr:row>19</xdr:row>
                    <xdr:rowOff>19050</xdr:rowOff>
                  </from>
                  <to>
                    <xdr:col>5</xdr:col>
                    <xdr:colOff>0</xdr:colOff>
                    <xdr:row>19</xdr:row>
                    <xdr:rowOff>266700</xdr:rowOff>
                  </to>
                </anchor>
              </controlPr>
            </control>
          </mc:Choice>
        </mc:AlternateContent>
        <mc:AlternateContent xmlns:mc="http://schemas.openxmlformats.org/markup-compatibility/2006">
          <mc:Choice Requires="x14">
            <control shapeId="1103" r:id="rId11" name="Check Box 79">
              <controlPr defaultSize="0" autoFill="0" autoLine="0" autoPict="0">
                <anchor moveWithCells="1">
                  <from>
                    <xdr:col>4</xdr:col>
                    <xdr:colOff>38100</xdr:colOff>
                    <xdr:row>20</xdr:row>
                    <xdr:rowOff>19050</xdr:rowOff>
                  </from>
                  <to>
                    <xdr:col>5</xdr:col>
                    <xdr:colOff>0</xdr:colOff>
                    <xdr:row>20</xdr:row>
                    <xdr:rowOff>266700</xdr:rowOff>
                  </to>
                </anchor>
              </controlPr>
            </control>
          </mc:Choice>
        </mc:AlternateContent>
        <mc:AlternateContent xmlns:mc="http://schemas.openxmlformats.org/markup-compatibility/2006">
          <mc:Choice Requires="x14">
            <control shapeId="1104" r:id="rId12" name="Check Box 80">
              <controlPr defaultSize="0" autoFill="0" autoLine="0" autoPict="0">
                <anchor moveWithCells="1">
                  <from>
                    <xdr:col>4</xdr:col>
                    <xdr:colOff>38100</xdr:colOff>
                    <xdr:row>21</xdr:row>
                    <xdr:rowOff>19050</xdr:rowOff>
                  </from>
                  <to>
                    <xdr:col>5</xdr:col>
                    <xdr:colOff>0</xdr:colOff>
                    <xdr:row>21</xdr:row>
                    <xdr:rowOff>266700</xdr:rowOff>
                  </to>
                </anchor>
              </controlPr>
            </control>
          </mc:Choice>
        </mc:AlternateContent>
        <mc:AlternateContent xmlns:mc="http://schemas.openxmlformats.org/markup-compatibility/2006">
          <mc:Choice Requires="x14">
            <control shapeId="1105" r:id="rId13" name="Check Box 81">
              <controlPr defaultSize="0" autoFill="0" autoLine="0" autoPict="0">
                <anchor moveWithCells="1">
                  <from>
                    <xdr:col>4</xdr:col>
                    <xdr:colOff>38100</xdr:colOff>
                    <xdr:row>23</xdr:row>
                    <xdr:rowOff>19050</xdr:rowOff>
                  </from>
                  <to>
                    <xdr:col>5</xdr:col>
                    <xdr:colOff>0</xdr:colOff>
                    <xdr:row>23</xdr:row>
                    <xdr:rowOff>266700</xdr:rowOff>
                  </to>
                </anchor>
              </controlPr>
            </control>
          </mc:Choice>
        </mc:AlternateContent>
        <mc:AlternateContent xmlns:mc="http://schemas.openxmlformats.org/markup-compatibility/2006">
          <mc:Choice Requires="x14">
            <control shapeId="1106" r:id="rId14" name="Check Box 82">
              <controlPr defaultSize="0" autoFill="0" autoLine="0" autoPict="0">
                <anchor moveWithCells="1">
                  <from>
                    <xdr:col>4</xdr:col>
                    <xdr:colOff>38100</xdr:colOff>
                    <xdr:row>32</xdr:row>
                    <xdr:rowOff>19050</xdr:rowOff>
                  </from>
                  <to>
                    <xdr:col>5</xdr:col>
                    <xdr:colOff>0</xdr:colOff>
                    <xdr:row>32</xdr:row>
                    <xdr:rowOff>266700</xdr:rowOff>
                  </to>
                </anchor>
              </controlPr>
            </control>
          </mc:Choice>
        </mc:AlternateContent>
        <mc:AlternateContent xmlns:mc="http://schemas.openxmlformats.org/markup-compatibility/2006">
          <mc:Choice Requires="x14">
            <control shapeId="1107" r:id="rId15" name="Check Box 83">
              <controlPr defaultSize="0" autoFill="0" autoLine="0" autoPict="0">
                <anchor moveWithCells="1">
                  <from>
                    <xdr:col>4</xdr:col>
                    <xdr:colOff>38100</xdr:colOff>
                    <xdr:row>33</xdr:row>
                    <xdr:rowOff>19050</xdr:rowOff>
                  </from>
                  <to>
                    <xdr:col>5</xdr:col>
                    <xdr:colOff>0</xdr:colOff>
                    <xdr:row>33</xdr:row>
                    <xdr:rowOff>266700</xdr:rowOff>
                  </to>
                </anchor>
              </controlPr>
            </control>
          </mc:Choice>
        </mc:AlternateContent>
        <mc:AlternateContent xmlns:mc="http://schemas.openxmlformats.org/markup-compatibility/2006">
          <mc:Choice Requires="x14">
            <control shapeId="1108" r:id="rId16" name="Check Box 84">
              <controlPr defaultSize="0" autoFill="0" autoLine="0" autoPict="0">
                <anchor moveWithCells="1">
                  <from>
                    <xdr:col>4</xdr:col>
                    <xdr:colOff>38100</xdr:colOff>
                    <xdr:row>34</xdr:row>
                    <xdr:rowOff>19050</xdr:rowOff>
                  </from>
                  <to>
                    <xdr:col>5</xdr:col>
                    <xdr:colOff>0</xdr:colOff>
                    <xdr:row>34</xdr:row>
                    <xdr:rowOff>266700</xdr:rowOff>
                  </to>
                </anchor>
              </controlPr>
            </control>
          </mc:Choice>
        </mc:AlternateContent>
        <mc:AlternateContent xmlns:mc="http://schemas.openxmlformats.org/markup-compatibility/2006">
          <mc:Choice Requires="x14">
            <control shapeId="1109" r:id="rId17" name="Check Box 85">
              <controlPr defaultSize="0" autoFill="0" autoLine="0" autoPict="0">
                <anchor moveWithCells="1">
                  <from>
                    <xdr:col>4</xdr:col>
                    <xdr:colOff>38100</xdr:colOff>
                    <xdr:row>35</xdr:row>
                    <xdr:rowOff>19050</xdr:rowOff>
                  </from>
                  <to>
                    <xdr:col>5</xdr:col>
                    <xdr:colOff>0</xdr:colOff>
                    <xdr:row>35</xdr:row>
                    <xdr:rowOff>266700</xdr:rowOff>
                  </to>
                </anchor>
              </controlPr>
            </control>
          </mc:Choice>
        </mc:AlternateContent>
        <mc:AlternateContent xmlns:mc="http://schemas.openxmlformats.org/markup-compatibility/2006">
          <mc:Choice Requires="x14">
            <control shapeId="1112" r:id="rId18" name="Check Box 88">
              <controlPr defaultSize="0" autoFill="0" autoLine="0" autoPict="0">
                <anchor moveWithCells="1">
                  <from>
                    <xdr:col>4</xdr:col>
                    <xdr:colOff>38100</xdr:colOff>
                    <xdr:row>8</xdr:row>
                    <xdr:rowOff>19050</xdr:rowOff>
                  </from>
                  <to>
                    <xdr:col>5</xdr:col>
                    <xdr:colOff>0</xdr:colOff>
                    <xdr:row>8</xdr:row>
                    <xdr:rowOff>266700</xdr:rowOff>
                  </to>
                </anchor>
              </controlPr>
            </control>
          </mc:Choice>
        </mc:AlternateContent>
        <mc:AlternateContent xmlns:mc="http://schemas.openxmlformats.org/markup-compatibility/2006">
          <mc:Choice Requires="x14">
            <control shapeId="1113" r:id="rId19" name="Check Box 89">
              <controlPr defaultSize="0" autoFill="0" autoLine="0" autoPict="0">
                <anchor moveWithCells="1">
                  <from>
                    <xdr:col>8</xdr:col>
                    <xdr:colOff>38100</xdr:colOff>
                    <xdr:row>8</xdr:row>
                    <xdr:rowOff>19050</xdr:rowOff>
                  </from>
                  <to>
                    <xdr:col>9</xdr:col>
                    <xdr:colOff>0</xdr:colOff>
                    <xdr:row>8</xdr:row>
                    <xdr:rowOff>266700</xdr:rowOff>
                  </to>
                </anchor>
              </controlPr>
            </control>
          </mc:Choice>
        </mc:AlternateContent>
        <mc:AlternateContent xmlns:mc="http://schemas.openxmlformats.org/markup-compatibility/2006">
          <mc:Choice Requires="x14">
            <control shapeId="1114" r:id="rId20" name="Check Box 90">
              <controlPr defaultSize="0" autoFill="0" autoLine="0" autoPict="0">
                <anchor moveWithCells="1">
                  <from>
                    <xdr:col>16</xdr:col>
                    <xdr:colOff>38100</xdr:colOff>
                    <xdr:row>8</xdr:row>
                    <xdr:rowOff>19050</xdr:rowOff>
                  </from>
                  <to>
                    <xdr:col>17</xdr:col>
                    <xdr:colOff>0</xdr:colOff>
                    <xdr:row>8</xdr:row>
                    <xdr:rowOff>266700</xdr:rowOff>
                  </to>
                </anchor>
              </controlPr>
            </control>
          </mc:Choice>
        </mc:AlternateContent>
        <mc:AlternateContent xmlns:mc="http://schemas.openxmlformats.org/markup-compatibility/2006">
          <mc:Choice Requires="x14">
            <control shapeId="1116" r:id="rId21" name="Check Box 92">
              <controlPr defaultSize="0" autoFill="0" autoLine="0" autoPict="0">
                <anchor moveWithCells="1">
                  <from>
                    <xdr:col>4</xdr:col>
                    <xdr:colOff>38100</xdr:colOff>
                    <xdr:row>9</xdr:row>
                    <xdr:rowOff>19050</xdr:rowOff>
                  </from>
                  <to>
                    <xdr:col>5</xdr:col>
                    <xdr:colOff>0</xdr:colOff>
                    <xdr:row>9</xdr:row>
                    <xdr:rowOff>266700</xdr:rowOff>
                  </to>
                </anchor>
              </controlPr>
            </control>
          </mc:Choice>
        </mc:AlternateContent>
        <mc:AlternateContent xmlns:mc="http://schemas.openxmlformats.org/markup-compatibility/2006">
          <mc:Choice Requires="x14">
            <control shapeId="1118" r:id="rId22" name="Check Box 94">
              <controlPr defaultSize="0" autoFill="0" autoLine="0" autoPict="0">
                <anchor moveWithCells="1">
                  <from>
                    <xdr:col>16</xdr:col>
                    <xdr:colOff>38100</xdr:colOff>
                    <xdr:row>9</xdr:row>
                    <xdr:rowOff>19050</xdr:rowOff>
                  </from>
                  <to>
                    <xdr:col>17</xdr:col>
                    <xdr:colOff>0</xdr:colOff>
                    <xdr:row>9</xdr:row>
                    <xdr:rowOff>266700</xdr:rowOff>
                  </to>
                </anchor>
              </controlPr>
            </control>
          </mc:Choice>
        </mc:AlternateContent>
        <mc:AlternateContent xmlns:mc="http://schemas.openxmlformats.org/markup-compatibility/2006">
          <mc:Choice Requires="x14">
            <control shapeId="1121" r:id="rId23" name="Check Box 97">
              <controlPr defaultSize="0" autoFill="0" autoLine="0" autoPict="0">
                <anchor moveWithCells="1">
                  <from>
                    <xdr:col>4</xdr:col>
                    <xdr:colOff>38100</xdr:colOff>
                    <xdr:row>10</xdr:row>
                    <xdr:rowOff>19050</xdr:rowOff>
                  </from>
                  <to>
                    <xdr:col>5</xdr:col>
                    <xdr:colOff>0</xdr:colOff>
                    <xdr:row>10</xdr:row>
                    <xdr:rowOff>266700</xdr:rowOff>
                  </to>
                </anchor>
              </controlPr>
            </control>
          </mc:Choice>
        </mc:AlternateContent>
        <mc:AlternateContent xmlns:mc="http://schemas.openxmlformats.org/markup-compatibility/2006">
          <mc:Choice Requires="x14">
            <control shapeId="1123" r:id="rId24" name="Check Box 99">
              <controlPr defaultSize="0" autoFill="0" autoLine="0" autoPict="0">
                <anchor moveWithCells="1">
                  <from>
                    <xdr:col>4</xdr:col>
                    <xdr:colOff>38100</xdr:colOff>
                    <xdr:row>12</xdr:row>
                    <xdr:rowOff>19050</xdr:rowOff>
                  </from>
                  <to>
                    <xdr:col>5</xdr:col>
                    <xdr:colOff>0</xdr:colOff>
                    <xdr:row>12</xdr:row>
                    <xdr:rowOff>266700</xdr:rowOff>
                  </to>
                </anchor>
              </controlPr>
            </control>
          </mc:Choice>
        </mc:AlternateContent>
        <mc:AlternateContent xmlns:mc="http://schemas.openxmlformats.org/markup-compatibility/2006">
          <mc:Choice Requires="x14">
            <control shapeId="1124" r:id="rId25" name="Check Box 100">
              <controlPr defaultSize="0" autoFill="0" autoLine="0" autoPict="0">
                <anchor moveWithCells="1">
                  <from>
                    <xdr:col>4</xdr:col>
                    <xdr:colOff>38100</xdr:colOff>
                    <xdr:row>11</xdr:row>
                    <xdr:rowOff>19050</xdr:rowOff>
                  </from>
                  <to>
                    <xdr:col>5</xdr:col>
                    <xdr:colOff>0</xdr:colOff>
                    <xdr:row>11</xdr:row>
                    <xdr:rowOff>266700</xdr:rowOff>
                  </to>
                </anchor>
              </controlPr>
            </control>
          </mc:Choice>
        </mc:AlternateContent>
        <mc:AlternateContent xmlns:mc="http://schemas.openxmlformats.org/markup-compatibility/2006">
          <mc:Choice Requires="x14">
            <control shapeId="1125" r:id="rId26" name="Check Box 101">
              <controlPr defaultSize="0" autoFill="0" autoLine="0" autoPict="0">
                <anchor moveWithCells="1">
                  <from>
                    <xdr:col>13</xdr:col>
                    <xdr:colOff>38100</xdr:colOff>
                    <xdr:row>10</xdr:row>
                    <xdr:rowOff>19050</xdr:rowOff>
                  </from>
                  <to>
                    <xdr:col>14</xdr:col>
                    <xdr:colOff>0</xdr:colOff>
                    <xdr:row>10</xdr:row>
                    <xdr:rowOff>266700</xdr:rowOff>
                  </to>
                </anchor>
              </controlPr>
            </control>
          </mc:Choice>
        </mc:AlternateContent>
        <mc:AlternateContent xmlns:mc="http://schemas.openxmlformats.org/markup-compatibility/2006">
          <mc:Choice Requires="x14">
            <control shapeId="1126" r:id="rId27" name="Check Box 102">
              <controlPr defaultSize="0" autoFill="0" autoLine="0" autoPict="0">
                <anchor moveWithCells="1">
                  <from>
                    <xdr:col>4</xdr:col>
                    <xdr:colOff>38100</xdr:colOff>
                    <xdr:row>22</xdr:row>
                    <xdr:rowOff>19050</xdr:rowOff>
                  </from>
                  <to>
                    <xdr:col>5</xdr:col>
                    <xdr:colOff>0</xdr:colOff>
                    <xdr:row>22</xdr:row>
                    <xdr:rowOff>266700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BDD65-2127-4138-B3D5-D02941BF4F25}">
  <sheetPr codeName="Sheet5">
    <tabColor rgb="FF7030A0"/>
  </sheetPr>
  <dimension ref="A1:Y44"/>
  <sheetViews>
    <sheetView view="pageBreakPreview" workbookViewId="0">
      <selection sqref="A1:Y2"/>
    </sheetView>
  </sheetViews>
  <sheetFormatPr defaultColWidth="3.75" defaultRowHeight="22.5" customHeight="1" x14ac:dyDescent="0.15"/>
  <sheetData>
    <row r="1" spans="1:25" ht="22.5" customHeight="1" x14ac:dyDescent="0.15">
      <c r="A1" s="270" t="s">
        <v>0</v>
      </c>
      <c r="B1" s="270"/>
      <c r="C1" s="270"/>
      <c r="D1" s="270"/>
      <c r="E1" s="270"/>
      <c r="F1" s="270"/>
      <c r="G1" s="270"/>
      <c r="H1" s="270"/>
      <c r="I1" s="270"/>
      <c r="J1" s="270"/>
      <c r="K1" s="270"/>
      <c r="L1" s="270"/>
      <c r="M1" s="270"/>
      <c r="N1" s="270"/>
      <c r="O1" s="270"/>
      <c r="P1" s="270"/>
      <c r="Q1" s="270"/>
      <c r="R1" s="270"/>
      <c r="S1" s="270"/>
      <c r="T1" s="270"/>
      <c r="U1" s="270"/>
      <c r="V1" s="270"/>
      <c r="W1" s="270"/>
      <c r="X1" s="270"/>
      <c r="Y1" s="270"/>
    </row>
    <row r="2" spans="1:25" ht="22.5" customHeight="1" x14ac:dyDescent="0.15">
      <c r="A2" s="270"/>
      <c r="B2" s="270"/>
      <c r="C2" s="270"/>
      <c r="D2" s="270"/>
      <c r="E2" s="270"/>
      <c r="F2" s="270"/>
      <c r="G2" s="270"/>
      <c r="H2" s="270"/>
      <c r="I2" s="270"/>
      <c r="J2" s="270"/>
      <c r="K2" s="270"/>
      <c r="L2" s="270"/>
      <c r="M2" s="270"/>
      <c r="N2" s="270"/>
      <c r="O2" s="270"/>
      <c r="P2" s="270"/>
      <c r="Q2" s="270"/>
      <c r="R2" s="270"/>
      <c r="S2" s="270"/>
      <c r="T2" s="270"/>
      <c r="U2" s="270"/>
      <c r="V2" s="270"/>
      <c r="W2" s="270"/>
      <c r="X2" s="270"/>
      <c r="Y2" s="270"/>
    </row>
    <row r="3" spans="1:25" ht="22.5" customHeight="1" thickBot="1" x14ac:dyDescent="0.2">
      <c r="A3" s="259">
        <f ca="1">TODAY()</f>
        <v>45978</v>
      </c>
      <c r="B3" s="259"/>
      <c r="C3" s="259"/>
      <c r="D3" s="259"/>
      <c r="E3" s="259"/>
      <c r="F3" s="259"/>
      <c r="G3" s="259"/>
      <c r="H3" s="259"/>
      <c r="I3" s="259"/>
      <c r="J3" s="259"/>
      <c r="K3" s="259"/>
      <c r="L3" s="259"/>
      <c r="M3" s="259"/>
      <c r="N3" s="259"/>
      <c r="O3" s="259"/>
      <c r="P3" s="259"/>
      <c r="Q3" s="259"/>
      <c r="R3" s="259"/>
      <c r="S3" s="259"/>
      <c r="T3" s="259"/>
      <c r="U3" s="259"/>
      <c r="V3" s="259"/>
      <c r="W3" s="259"/>
      <c r="X3" s="259"/>
      <c r="Y3" s="259"/>
    </row>
    <row r="4" spans="1:25" ht="33.75" customHeight="1" x14ac:dyDescent="0.15">
      <c r="A4" s="236" t="s">
        <v>1</v>
      </c>
      <c r="B4" s="237"/>
      <c r="C4" s="237"/>
      <c r="D4" s="260"/>
      <c r="E4" s="237" t="str">
        <f>IFERROR(VLOOKUP(基本画面!$E$39,基本画面!$C$23:$K$35,9,FALSE),"")&amp;""</f>
        <v/>
      </c>
      <c r="F4" s="237"/>
      <c r="G4" s="237"/>
      <c r="H4" s="237"/>
      <c r="I4" s="237"/>
      <c r="J4" s="237"/>
      <c r="K4" s="237"/>
      <c r="L4" s="237"/>
      <c r="M4" s="237"/>
      <c r="N4" s="237"/>
      <c r="O4" s="237"/>
      <c r="P4" s="237"/>
      <c r="Q4" s="237"/>
      <c r="R4" s="237"/>
      <c r="S4" s="237"/>
      <c r="T4" s="237"/>
      <c r="U4" s="237"/>
      <c r="V4" s="237"/>
      <c r="W4" s="237"/>
      <c r="X4" s="237"/>
      <c r="Y4" s="277"/>
    </row>
    <row r="5" spans="1:25" ht="33.75" customHeight="1" x14ac:dyDescent="0.15">
      <c r="A5" s="271" t="s">
        <v>2</v>
      </c>
      <c r="B5" s="272"/>
      <c r="C5" s="272"/>
      <c r="D5" s="273"/>
      <c r="E5" s="272" t="str">
        <f>IFERROR(VLOOKUP(基本画面!$E$39,基本画面!$C$23:$L$35,10,FALSE),"")&amp;""</f>
        <v/>
      </c>
      <c r="F5" s="272"/>
      <c r="G5" s="272"/>
      <c r="H5" s="272"/>
      <c r="I5" s="272"/>
      <c r="J5" s="272"/>
      <c r="K5" s="272"/>
      <c r="L5" s="272"/>
      <c r="M5" s="272"/>
      <c r="N5" s="272"/>
      <c r="O5" s="272"/>
      <c r="P5" s="272"/>
      <c r="Q5" s="272"/>
      <c r="R5" s="272"/>
      <c r="S5" s="272"/>
      <c r="T5" s="272"/>
      <c r="U5" s="272"/>
      <c r="V5" s="272"/>
      <c r="W5" s="272"/>
      <c r="X5" s="272"/>
      <c r="Y5" s="278"/>
    </row>
    <row r="6" spans="1:25" ht="33.75" customHeight="1" x14ac:dyDescent="0.15">
      <c r="A6" s="280" t="s">
        <v>16</v>
      </c>
      <c r="B6" s="281"/>
      <c r="C6" s="281"/>
      <c r="D6" s="282"/>
      <c r="E6" s="283" t="str">
        <f>IFERROR(VLOOKUP(基本画面!$E$39,基本画面!$C$23:$K$35,6,FALSE),"")&amp;""</f>
        <v/>
      </c>
      <c r="F6" s="281"/>
      <c r="G6" s="281"/>
      <c r="H6" s="281"/>
      <c r="I6" s="281"/>
      <c r="J6" s="281"/>
      <c r="K6" s="281"/>
      <c r="L6" s="281"/>
      <c r="M6" s="281"/>
      <c r="N6" s="281"/>
      <c r="O6" s="281"/>
      <c r="P6" s="281"/>
      <c r="Q6" s="281"/>
      <c r="R6" s="281"/>
      <c r="S6" s="281"/>
      <c r="T6" s="281"/>
      <c r="U6" s="281"/>
      <c r="V6" s="281"/>
      <c r="W6" s="281"/>
      <c r="X6" s="281"/>
      <c r="Y6" s="284"/>
    </row>
    <row r="7" spans="1:25" ht="33.75" customHeight="1" thickBot="1" x14ac:dyDescent="0.2">
      <c r="A7" s="280" t="s">
        <v>290</v>
      </c>
      <c r="B7" s="281"/>
      <c r="C7" s="281"/>
      <c r="D7" s="282"/>
      <c r="E7" s="292" t="str">
        <f>IFERROR(VLOOKUP(基本画面!$E$39,基本画面!$C$23:$K$35,7,FALSE),"")&amp;""</f>
        <v/>
      </c>
      <c r="F7" s="275"/>
      <c r="G7" s="275"/>
      <c r="H7" s="275"/>
      <c r="I7" s="275"/>
      <c r="J7" s="275"/>
      <c r="K7" s="275"/>
      <c r="L7" s="275"/>
      <c r="M7" s="275"/>
      <c r="N7" s="275"/>
      <c r="O7" s="275"/>
      <c r="P7" s="275"/>
      <c r="Q7" s="275"/>
      <c r="R7" s="275"/>
      <c r="S7" s="275"/>
      <c r="T7" s="275"/>
      <c r="U7" s="275"/>
      <c r="V7" s="275"/>
      <c r="W7" s="275"/>
      <c r="X7" s="275"/>
      <c r="Y7" s="279"/>
    </row>
    <row r="8" spans="1:25" ht="22.5" customHeight="1" x14ac:dyDescent="0.15">
      <c r="A8" s="236" t="s">
        <v>3</v>
      </c>
      <c r="B8" s="237"/>
      <c r="C8" s="237"/>
      <c r="D8" s="260"/>
      <c r="E8" s="9"/>
      <c r="F8" s="265" t="s">
        <v>24</v>
      </c>
      <c r="G8" s="265"/>
      <c r="H8" s="265"/>
      <c r="I8" s="9"/>
      <c r="J8" s="265" t="s">
        <v>25</v>
      </c>
      <c r="K8" s="265"/>
      <c r="L8" s="265"/>
      <c r="M8" s="265"/>
      <c r="N8" s="265"/>
      <c r="O8" s="265"/>
      <c r="P8" s="265"/>
      <c r="Q8" s="9"/>
      <c r="R8" s="265" t="s">
        <v>26</v>
      </c>
      <c r="S8" s="265"/>
      <c r="T8" s="265"/>
      <c r="U8" s="265"/>
      <c r="V8" s="266"/>
      <c r="W8" s="287" t="s">
        <v>23</v>
      </c>
      <c r="X8" s="237"/>
      <c r="Y8" s="277"/>
    </row>
    <row r="9" spans="1:25" ht="22.5" customHeight="1" x14ac:dyDescent="0.15">
      <c r="A9" s="238"/>
      <c r="B9" s="239"/>
      <c r="C9" s="239"/>
      <c r="D9" s="243"/>
      <c r="E9" s="6"/>
      <c r="F9" s="267" t="s">
        <v>27</v>
      </c>
      <c r="G9" s="267"/>
      <c r="H9" s="267"/>
      <c r="I9" s="267"/>
      <c r="J9" s="267"/>
      <c r="K9" s="267"/>
      <c r="L9" s="267"/>
      <c r="M9" s="267"/>
      <c r="N9" s="267"/>
      <c r="O9" s="267"/>
      <c r="P9" s="267"/>
      <c r="Q9" s="6"/>
      <c r="R9" s="179" t="s">
        <v>28</v>
      </c>
      <c r="S9" s="179"/>
      <c r="T9" s="179"/>
      <c r="U9" s="179"/>
      <c r="V9" s="268"/>
      <c r="W9" s="288"/>
      <c r="X9" s="239"/>
      <c r="Y9" s="289"/>
    </row>
    <row r="10" spans="1:25" ht="22.5" customHeight="1" x14ac:dyDescent="0.15">
      <c r="A10" s="238"/>
      <c r="B10" s="239"/>
      <c r="C10" s="239"/>
      <c r="D10" s="243"/>
      <c r="E10" s="10"/>
      <c r="F10" s="269" t="s">
        <v>29</v>
      </c>
      <c r="G10" s="269"/>
      <c r="H10" s="269"/>
      <c r="I10" s="269"/>
      <c r="J10" s="269"/>
      <c r="K10" s="269"/>
      <c r="L10" s="269"/>
      <c r="M10" s="269"/>
      <c r="N10" s="10"/>
      <c r="O10" s="179" t="s">
        <v>32</v>
      </c>
      <c r="P10" s="179"/>
      <c r="Q10" s="179"/>
      <c r="R10" s="179"/>
      <c r="S10" s="179"/>
      <c r="T10" s="179"/>
      <c r="U10" s="179"/>
      <c r="V10" s="268"/>
      <c r="W10" s="288"/>
      <c r="X10" s="239"/>
      <c r="Y10" s="289"/>
    </row>
    <row r="11" spans="1:25" ht="22.5" customHeight="1" x14ac:dyDescent="0.15">
      <c r="A11" s="238"/>
      <c r="B11" s="239"/>
      <c r="C11" s="239"/>
      <c r="D11" s="243"/>
      <c r="E11" s="7"/>
      <c r="F11" s="179" t="s">
        <v>31</v>
      </c>
      <c r="G11" s="179"/>
      <c r="H11" s="179"/>
      <c r="I11" s="179"/>
      <c r="J11" s="179"/>
      <c r="K11" s="179"/>
      <c r="L11" s="179"/>
      <c r="M11" s="179"/>
      <c r="N11" s="179"/>
      <c r="O11" s="179"/>
      <c r="P11" s="179"/>
      <c r="Q11" s="179"/>
      <c r="R11" s="179"/>
      <c r="S11" s="179"/>
      <c r="T11" s="179"/>
      <c r="U11" s="179"/>
      <c r="V11" s="179"/>
      <c r="W11" s="179"/>
      <c r="X11" s="179"/>
      <c r="Y11" s="180"/>
    </row>
    <row r="12" spans="1:25" ht="22.5" customHeight="1" thickBot="1" x14ac:dyDescent="0.2">
      <c r="A12" s="240"/>
      <c r="B12" s="241"/>
      <c r="C12" s="241"/>
      <c r="D12" s="261"/>
      <c r="E12" s="11"/>
      <c r="F12" s="285" t="s">
        <v>30</v>
      </c>
      <c r="G12" s="285"/>
      <c r="H12" s="285"/>
      <c r="I12" s="285"/>
      <c r="J12" s="285"/>
      <c r="K12" s="285"/>
      <c r="L12" s="285"/>
      <c r="M12" s="285"/>
      <c r="N12" s="285"/>
      <c r="O12" s="285"/>
      <c r="P12" s="285"/>
      <c r="Q12" s="285"/>
      <c r="R12" s="285"/>
      <c r="S12" s="285"/>
      <c r="T12" s="285"/>
      <c r="U12" s="285"/>
      <c r="V12" s="285"/>
      <c r="W12" s="285"/>
      <c r="X12" s="285"/>
      <c r="Y12" s="286"/>
    </row>
    <row r="13" spans="1:25" ht="22.5" customHeight="1" x14ac:dyDescent="0.15">
      <c r="A13" s="238" t="s">
        <v>4</v>
      </c>
      <c r="B13" s="239"/>
      <c r="C13" s="239"/>
      <c r="D13" s="239"/>
      <c r="E13" s="8"/>
      <c r="F13" s="293">
        <f>基本画面!E39</f>
        <v>0</v>
      </c>
      <c r="G13" s="293"/>
      <c r="H13" s="293"/>
      <c r="I13" s="293"/>
      <c r="J13" s="293"/>
      <c r="K13" s="293"/>
      <c r="L13" s="293"/>
      <c r="M13" s="293"/>
      <c r="N13" s="293"/>
      <c r="O13" s="293"/>
      <c r="P13" s="293"/>
      <c r="Q13" s="293"/>
      <c r="R13" s="293"/>
      <c r="S13" s="293"/>
      <c r="T13" s="293"/>
      <c r="U13" s="293"/>
      <c r="V13" s="293"/>
      <c r="W13" s="293"/>
      <c r="X13" s="293"/>
      <c r="Y13" s="294"/>
    </row>
    <row r="14" spans="1:25" ht="22.5" customHeight="1" x14ac:dyDescent="0.15">
      <c r="A14" s="238"/>
      <c r="B14" s="239"/>
      <c r="C14" s="239"/>
      <c r="D14" s="239"/>
      <c r="E14" s="2"/>
      <c r="F14" s="290">
        <f>F13</f>
        <v>0</v>
      </c>
      <c r="G14" s="290"/>
      <c r="H14" s="290"/>
      <c r="I14" s="290"/>
      <c r="J14" s="290"/>
      <c r="K14" s="290"/>
      <c r="L14" s="290"/>
      <c r="M14" s="290"/>
      <c r="N14" s="290"/>
      <c r="O14" s="290"/>
      <c r="P14" s="290"/>
      <c r="Q14" s="290"/>
      <c r="R14" s="290"/>
      <c r="S14" s="290"/>
      <c r="T14" s="290"/>
      <c r="U14" s="290"/>
      <c r="V14" s="290"/>
      <c r="W14" s="290"/>
      <c r="X14" s="290"/>
      <c r="Y14" s="291"/>
    </row>
    <row r="15" spans="1:25" ht="22.5" customHeight="1" x14ac:dyDescent="0.15">
      <c r="A15" s="238"/>
      <c r="B15" s="239"/>
      <c r="C15" s="239"/>
      <c r="D15" s="239"/>
      <c r="E15" s="1"/>
      <c r="F15" s="295" t="str">
        <f>CONCATENATE("「",F13,"」が死亡している場合")</f>
        <v>「0」が死亡している場合</v>
      </c>
      <c r="G15" s="295"/>
      <c r="H15" s="295"/>
      <c r="I15" s="295"/>
      <c r="J15" s="295"/>
      <c r="K15" s="295"/>
      <c r="L15" s="295"/>
      <c r="M15" s="295"/>
      <c r="N15" s="295"/>
      <c r="O15" s="295"/>
      <c r="P15" s="295"/>
      <c r="Q15" s="295"/>
      <c r="R15" s="295"/>
      <c r="S15" s="295"/>
      <c r="T15" s="295"/>
      <c r="U15" s="295"/>
      <c r="V15" s="295"/>
      <c r="W15" s="295"/>
      <c r="X15" s="295"/>
      <c r="Y15" s="296"/>
    </row>
    <row r="16" spans="1:25" ht="22.5" customHeight="1" x14ac:dyDescent="0.15">
      <c r="A16" s="238"/>
      <c r="B16" s="239"/>
      <c r="C16" s="239"/>
      <c r="D16" s="239"/>
      <c r="E16" s="301"/>
      <c r="F16" s="257" t="str">
        <f>CONCATENATE("「",F13,"」の出生～死亡までの戸籍謄本")</f>
        <v>「0」の出生～死亡までの戸籍謄本</v>
      </c>
      <c r="G16" s="257"/>
      <c r="H16" s="257"/>
      <c r="I16" s="257"/>
      <c r="J16" s="257"/>
      <c r="K16" s="257"/>
      <c r="L16" s="257"/>
      <c r="M16" s="257"/>
      <c r="N16" s="257"/>
      <c r="O16" s="257"/>
      <c r="P16" s="257"/>
      <c r="Q16" s="257"/>
      <c r="R16" s="257"/>
      <c r="S16" s="257"/>
      <c r="T16" s="257"/>
      <c r="U16" s="257"/>
      <c r="V16" s="257"/>
      <c r="W16" s="257"/>
      <c r="X16" s="257"/>
      <c r="Y16" s="258"/>
    </row>
    <row r="17" spans="1:25" ht="22.5" customHeight="1" x14ac:dyDescent="0.15">
      <c r="A17" s="238"/>
      <c r="B17" s="239"/>
      <c r="C17" s="239"/>
      <c r="D17" s="239"/>
      <c r="E17" s="301"/>
      <c r="F17" s="297" t="str">
        <f>CONCATENATE("「",F13,"の子供」の現在戸籍（転籍等で現在のが発行できない場合は除籍謄本）")</f>
        <v>「0の子供」の現在戸籍（転籍等で現在のが発行できない場合は除籍謄本）</v>
      </c>
      <c r="G17" s="297"/>
      <c r="H17" s="297"/>
      <c r="I17" s="297"/>
      <c r="J17" s="297"/>
      <c r="K17" s="297"/>
      <c r="L17" s="297"/>
      <c r="M17" s="297"/>
      <c r="N17" s="297"/>
      <c r="O17" s="297"/>
      <c r="P17" s="297"/>
      <c r="Q17" s="297"/>
      <c r="R17" s="297"/>
      <c r="S17" s="297"/>
      <c r="T17" s="297"/>
      <c r="U17" s="297"/>
      <c r="V17" s="297"/>
      <c r="W17" s="297"/>
      <c r="X17" s="297"/>
      <c r="Y17" s="298"/>
    </row>
    <row r="18" spans="1:25" ht="22.5" customHeight="1" x14ac:dyDescent="0.15">
      <c r="A18" s="238"/>
      <c r="B18" s="239"/>
      <c r="C18" s="239"/>
      <c r="D18" s="239"/>
      <c r="E18" s="92"/>
      <c r="F18" s="299" t="str">
        <f>CONCATENATE("「",F13,"の子供」の戸籍附票（転籍等で現在のものが発行できない場合は不要）")</f>
        <v>「0の子供」の戸籍附票（転籍等で現在のものが発行できない場合は不要）</v>
      </c>
      <c r="G18" s="299"/>
      <c r="H18" s="299"/>
      <c r="I18" s="299"/>
      <c r="J18" s="299"/>
      <c r="K18" s="299"/>
      <c r="L18" s="299"/>
      <c r="M18" s="299"/>
      <c r="N18" s="299"/>
      <c r="O18" s="299"/>
      <c r="P18" s="299"/>
      <c r="Q18" s="299"/>
      <c r="R18" s="299"/>
      <c r="S18" s="299"/>
      <c r="T18" s="299"/>
      <c r="U18" s="299"/>
      <c r="V18" s="299"/>
      <c r="W18" s="299"/>
      <c r="X18" s="299"/>
      <c r="Y18" s="300"/>
    </row>
    <row r="19" spans="1:25" ht="22.5" customHeight="1" x14ac:dyDescent="0.15">
      <c r="A19" s="238"/>
      <c r="B19" s="239"/>
      <c r="C19" s="239"/>
      <c r="D19" s="239"/>
      <c r="E19" s="1"/>
      <c r="F19" s="175" t="str">
        <f>CONCATENATE("「",F13,"」の婚姻～死亡までの戸籍謄本")</f>
        <v>「0」の婚姻～死亡までの戸籍謄本</v>
      </c>
      <c r="G19" s="175"/>
      <c r="H19" s="175"/>
      <c r="I19" s="175"/>
      <c r="J19" s="175"/>
      <c r="K19" s="175"/>
      <c r="L19" s="175"/>
      <c r="M19" s="175"/>
      <c r="N19" s="175"/>
      <c r="O19" s="175"/>
      <c r="P19" s="175"/>
      <c r="Q19" s="175"/>
      <c r="R19" s="175"/>
      <c r="S19" s="175"/>
      <c r="T19" s="175"/>
      <c r="U19" s="175"/>
      <c r="V19" s="175"/>
      <c r="W19" s="175"/>
      <c r="X19" s="175"/>
      <c r="Y19" s="176"/>
    </row>
    <row r="20" spans="1:25" ht="22.5" customHeight="1" x14ac:dyDescent="0.15">
      <c r="A20" s="238"/>
      <c r="B20" s="239"/>
      <c r="C20" s="239"/>
      <c r="D20" s="239"/>
      <c r="E20" s="1"/>
      <c r="F20" s="175"/>
      <c r="G20" s="175"/>
      <c r="H20" s="175"/>
      <c r="I20" s="175"/>
      <c r="J20" s="175"/>
      <c r="K20" s="175"/>
      <c r="L20" s="175"/>
      <c r="M20" s="175"/>
      <c r="N20" s="175"/>
      <c r="O20" s="175"/>
      <c r="P20" s="175"/>
      <c r="Q20" s="175"/>
      <c r="R20" s="175"/>
      <c r="S20" s="175"/>
      <c r="T20" s="175"/>
      <c r="U20" s="175"/>
      <c r="V20" s="175"/>
      <c r="W20" s="175"/>
      <c r="X20" s="175"/>
      <c r="Y20" s="176"/>
    </row>
    <row r="21" spans="1:25" ht="22.5" customHeight="1" x14ac:dyDescent="0.15">
      <c r="A21" s="238"/>
      <c r="B21" s="239"/>
      <c r="C21" s="239"/>
      <c r="D21" s="239"/>
      <c r="E21" s="1"/>
      <c r="F21" s="175"/>
      <c r="G21" s="175"/>
      <c r="H21" s="175"/>
      <c r="I21" s="175"/>
      <c r="J21" s="175"/>
      <c r="K21" s="175"/>
      <c r="L21" s="175"/>
      <c r="M21" s="175"/>
      <c r="N21" s="175"/>
      <c r="O21" s="175"/>
      <c r="P21" s="175"/>
      <c r="Q21" s="175"/>
      <c r="R21" s="175"/>
      <c r="S21" s="175"/>
      <c r="T21" s="175"/>
      <c r="U21" s="175"/>
      <c r="V21" s="175"/>
      <c r="W21" s="175"/>
      <c r="X21" s="175"/>
      <c r="Y21" s="176"/>
    </row>
    <row r="22" spans="1:25" ht="22.5" customHeight="1" thickBot="1" x14ac:dyDescent="0.2">
      <c r="A22" s="238"/>
      <c r="B22" s="239"/>
      <c r="C22" s="239"/>
      <c r="D22" s="239"/>
      <c r="E22" s="1"/>
      <c r="F22" s="205"/>
      <c r="G22" s="205"/>
      <c r="H22" s="205"/>
      <c r="I22" s="205"/>
      <c r="J22" s="205"/>
      <c r="K22" s="205"/>
      <c r="L22" s="205"/>
      <c r="M22" s="205"/>
      <c r="N22" s="205"/>
      <c r="O22" s="205"/>
      <c r="P22" s="205"/>
      <c r="Q22" s="205"/>
      <c r="R22" s="205"/>
      <c r="S22" s="205"/>
      <c r="T22" s="205"/>
      <c r="U22" s="205"/>
      <c r="V22" s="205"/>
      <c r="W22" s="205"/>
      <c r="X22" s="205"/>
      <c r="Y22" s="206"/>
    </row>
    <row r="23" spans="1:25" ht="22.5" customHeight="1" x14ac:dyDescent="0.15">
      <c r="A23" s="236" t="s">
        <v>5</v>
      </c>
      <c r="B23" s="237"/>
      <c r="C23" s="237"/>
      <c r="D23" s="237"/>
      <c r="E23" s="262" t="s">
        <v>7</v>
      </c>
      <c r="F23" s="263"/>
      <c r="G23" s="263"/>
      <c r="H23" s="263"/>
      <c r="I23" s="263"/>
      <c r="J23" s="263"/>
      <c r="K23" s="263"/>
      <c r="L23" s="263"/>
      <c r="M23" s="263"/>
      <c r="N23" s="263"/>
      <c r="O23" s="263"/>
      <c r="P23" s="263"/>
      <c r="Q23" s="263"/>
      <c r="R23" s="263"/>
      <c r="S23" s="263"/>
      <c r="T23" s="263"/>
      <c r="U23" s="263"/>
      <c r="V23" s="263"/>
      <c r="W23" s="263"/>
      <c r="X23" s="263"/>
      <c r="Y23" s="264"/>
    </row>
    <row r="24" spans="1:25" ht="22.5" customHeight="1" x14ac:dyDescent="0.15">
      <c r="A24" s="238"/>
      <c r="B24" s="239"/>
      <c r="C24" s="239"/>
      <c r="D24" s="239"/>
      <c r="E24" s="174" t="s">
        <v>6</v>
      </c>
      <c r="F24" s="175"/>
      <c r="G24" s="175"/>
      <c r="H24" s="175"/>
      <c r="I24" s="175"/>
      <c r="J24" s="175"/>
      <c r="K24" s="175"/>
      <c r="L24" s="175"/>
      <c r="M24" s="175"/>
      <c r="N24" s="175"/>
      <c r="O24" s="175"/>
      <c r="P24" s="175"/>
      <c r="Q24" s="175"/>
      <c r="R24" s="175"/>
      <c r="S24" s="175"/>
      <c r="T24" s="175"/>
      <c r="U24" s="175"/>
      <c r="V24" s="175"/>
      <c r="W24" s="175"/>
      <c r="X24" s="175"/>
      <c r="Y24" s="176"/>
    </row>
    <row r="25" spans="1:25" ht="22.5" customHeight="1" x14ac:dyDescent="0.15">
      <c r="A25" s="238"/>
      <c r="B25" s="239"/>
      <c r="C25" s="239"/>
      <c r="D25" s="239"/>
      <c r="E25" s="256" t="s">
        <v>8</v>
      </c>
      <c r="F25" s="257"/>
      <c r="G25" s="257"/>
      <c r="H25" s="257"/>
      <c r="I25" s="257"/>
      <c r="J25" s="257"/>
      <c r="K25" s="257"/>
      <c r="L25" s="257"/>
      <c r="M25" s="257"/>
      <c r="N25" s="257"/>
      <c r="O25" s="257"/>
      <c r="P25" s="257"/>
      <c r="Q25" s="257"/>
      <c r="R25" s="257"/>
      <c r="S25" s="257"/>
      <c r="T25" s="257"/>
      <c r="U25" s="257"/>
      <c r="V25" s="257"/>
      <c r="W25" s="257"/>
      <c r="X25" s="257"/>
      <c r="Y25" s="258"/>
    </row>
    <row r="26" spans="1:25" ht="22.5" customHeight="1" x14ac:dyDescent="0.15">
      <c r="A26" s="238"/>
      <c r="B26" s="239"/>
      <c r="C26" s="239"/>
      <c r="D26" s="239"/>
      <c r="E26" s="174" t="s">
        <v>9</v>
      </c>
      <c r="F26" s="175"/>
      <c r="G26" s="175"/>
      <c r="H26" s="175"/>
      <c r="I26" s="175"/>
      <c r="J26" s="175"/>
      <c r="K26" s="175"/>
      <c r="L26" s="175"/>
      <c r="M26" s="175"/>
      <c r="N26" s="175"/>
      <c r="O26" s="175"/>
      <c r="P26" s="175"/>
      <c r="Q26" s="175"/>
      <c r="R26" s="175"/>
      <c r="S26" s="175"/>
      <c r="T26" s="175"/>
      <c r="U26" s="175"/>
      <c r="V26" s="175"/>
      <c r="W26" s="175"/>
      <c r="X26" s="175"/>
      <c r="Y26" s="176"/>
    </row>
    <row r="27" spans="1:25" ht="22.5" customHeight="1" x14ac:dyDescent="0.15">
      <c r="A27" s="238"/>
      <c r="B27" s="239"/>
      <c r="C27" s="239"/>
      <c r="D27" s="239"/>
      <c r="E27" s="174" t="s">
        <v>10</v>
      </c>
      <c r="F27" s="175"/>
      <c r="G27" s="175"/>
      <c r="H27" s="175"/>
      <c r="I27" s="175"/>
      <c r="J27" s="175"/>
      <c r="K27" s="175"/>
      <c r="L27" s="175"/>
      <c r="M27" s="175"/>
      <c r="N27" s="175"/>
      <c r="O27" s="175"/>
      <c r="P27" s="175"/>
      <c r="Q27" s="175"/>
      <c r="R27" s="175"/>
      <c r="S27" s="175"/>
      <c r="T27" s="175"/>
      <c r="U27" s="175"/>
      <c r="V27" s="175"/>
      <c r="W27" s="175"/>
      <c r="X27" s="175"/>
      <c r="Y27" s="176"/>
    </row>
    <row r="28" spans="1:25" ht="22.5" customHeight="1" x14ac:dyDescent="0.15">
      <c r="A28" s="238"/>
      <c r="B28" s="239"/>
      <c r="C28" s="239"/>
      <c r="D28" s="239"/>
      <c r="E28" s="174" t="s">
        <v>303</v>
      </c>
      <c r="F28" s="175"/>
      <c r="G28" s="175"/>
      <c r="H28" s="175"/>
      <c r="I28" s="205"/>
      <c r="J28" s="205"/>
      <c r="K28" s="205"/>
      <c r="L28" s="205"/>
      <c r="M28" s="205"/>
      <c r="N28" s="205"/>
      <c r="O28" s="205"/>
      <c r="P28" s="205"/>
      <c r="Q28" s="205"/>
      <c r="R28" s="205"/>
      <c r="S28" s="205"/>
      <c r="T28" s="205"/>
      <c r="U28" s="205"/>
      <c r="V28" s="205"/>
      <c r="W28" s="205"/>
      <c r="X28" s="205"/>
      <c r="Y28" s="206"/>
    </row>
    <row r="29" spans="1:25" ht="15" customHeight="1" x14ac:dyDescent="0.15">
      <c r="A29" s="238"/>
      <c r="B29" s="239"/>
      <c r="C29" s="239"/>
      <c r="D29" s="239"/>
      <c r="E29" s="253" t="s">
        <v>451</v>
      </c>
      <c r="F29" s="254"/>
      <c r="G29" s="254"/>
      <c r="H29" s="255"/>
      <c r="I29" s="190" t="str">
        <f>IF(基本画面!D23=0,"",基本画面!D23)</f>
        <v/>
      </c>
      <c r="J29" s="191"/>
      <c r="K29" s="191"/>
      <c r="L29" s="191"/>
      <c r="M29" s="191"/>
      <c r="N29" s="191"/>
      <c r="O29" s="191"/>
      <c r="P29" s="191"/>
      <c r="Q29" s="195"/>
      <c r="R29" s="190" t="s">
        <v>12</v>
      </c>
      <c r="S29" s="191"/>
      <c r="T29" s="191"/>
      <c r="U29" s="195"/>
      <c r="V29" s="191" t="s">
        <v>11</v>
      </c>
      <c r="W29" s="191"/>
      <c r="X29" s="191"/>
      <c r="Y29" s="196"/>
    </row>
    <row r="30" spans="1:25" ht="26.25" customHeight="1" thickBot="1" x14ac:dyDescent="0.2">
      <c r="A30" s="240"/>
      <c r="B30" s="241"/>
      <c r="C30" s="241"/>
      <c r="D30" s="241"/>
      <c r="E30" s="223"/>
      <c r="F30" s="224"/>
      <c r="G30" s="224"/>
      <c r="H30" s="225"/>
      <c r="I30" s="215">
        <f>基本画面!C23</f>
        <v>0</v>
      </c>
      <c r="J30" s="216"/>
      <c r="K30" s="216"/>
      <c r="L30" s="216"/>
      <c r="M30" s="216"/>
      <c r="N30" s="216"/>
      <c r="O30" s="216"/>
      <c r="P30" s="216"/>
      <c r="Q30" s="217"/>
      <c r="R30" s="197" t="str">
        <f>IF(基本画面!E23=0,"",基本画面!E23)</f>
        <v/>
      </c>
      <c r="S30" s="198"/>
      <c r="T30" s="198"/>
      <c r="U30" s="199"/>
      <c r="V30" s="250" t="str">
        <f>IF(基本画面!F23=0,"",基本画面!F23)</f>
        <v/>
      </c>
      <c r="W30" s="251"/>
      <c r="X30" s="251"/>
      <c r="Y30" s="252"/>
    </row>
    <row r="31" spans="1:25" ht="22.5" customHeight="1" x14ac:dyDescent="0.15">
      <c r="A31" s="242" t="s">
        <v>13</v>
      </c>
      <c r="B31" s="239"/>
      <c r="C31" s="239"/>
      <c r="D31" s="243"/>
      <c r="E31" s="3"/>
      <c r="F31" s="244" t="s">
        <v>456</v>
      </c>
      <c r="G31" s="244"/>
      <c r="H31" s="244"/>
      <c r="I31" s="244"/>
      <c r="J31" s="244"/>
      <c r="K31" s="244"/>
      <c r="L31" s="244"/>
      <c r="M31" s="244"/>
      <c r="N31" s="244"/>
      <c r="O31" s="244"/>
      <c r="P31" s="244"/>
      <c r="Q31" s="244"/>
      <c r="R31" s="244"/>
      <c r="S31" s="244"/>
      <c r="T31" s="244"/>
      <c r="U31" s="244"/>
      <c r="V31" s="244"/>
      <c r="W31" s="244"/>
      <c r="X31" s="244"/>
      <c r="Y31" s="245"/>
    </row>
    <row r="32" spans="1:25" ht="22.5" customHeight="1" x14ac:dyDescent="0.15">
      <c r="A32" s="238"/>
      <c r="B32" s="239"/>
      <c r="C32" s="239"/>
      <c r="D32" s="243"/>
      <c r="E32" s="4"/>
      <c r="F32" s="246" t="s">
        <v>457</v>
      </c>
      <c r="G32" s="246"/>
      <c r="H32" s="246"/>
      <c r="I32" s="246"/>
      <c r="J32" s="246"/>
      <c r="K32" s="246"/>
      <c r="L32" s="246"/>
      <c r="M32" s="246"/>
      <c r="N32" s="246"/>
      <c r="O32" s="246"/>
      <c r="P32" s="246"/>
      <c r="Q32" s="246"/>
      <c r="R32" s="246"/>
      <c r="S32" s="246"/>
      <c r="T32" s="246"/>
      <c r="U32" s="246"/>
      <c r="V32" s="246"/>
      <c r="W32" s="246"/>
      <c r="X32" s="246"/>
      <c r="Y32" s="247"/>
    </row>
    <row r="33" spans="1:25" ht="22.5" customHeight="1" x14ac:dyDescent="0.15">
      <c r="A33" s="238"/>
      <c r="B33" s="239"/>
      <c r="C33" s="239"/>
      <c r="D33" s="243"/>
      <c r="E33" s="3"/>
      <c r="F33" s="218"/>
      <c r="G33" s="218"/>
      <c r="H33" s="218"/>
      <c r="I33" s="218"/>
      <c r="J33" s="218"/>
      <c r="K33" s="218"/>
      <c r="L33" s="218"/>
      <c r="M33" s="218"/>
      <c r="N33" s="218"/>
      <c r="O33" s="218"/>
      <c r="P33" s="218"/>
      <c r="Q33" s="218"/>
      <c r="R33" s="218"/>
      <c r="S33" s="218"/>
      <c r="T33" s="218"/>
      <c r="U33" s="218"/>
      <c r="V33" s="218"/>
      <c r="W33" s="218"/>
      <c r="X33" s="218"/>
      <c r="Y33" s="219"/>
    </row>
    <row r="34" spans="1:25" ht="22.5" customHeight="1" thickBot="1" x14ac:dyDescent="0.2">
      <c r="A34" s="238"/>
      <c r="B34" s="239"/>
      <c r="C34" s="239"/>
      <c r="D34" s="243"/>
      <c r="E34" s="5"/>
      <c r="F34" s="248"/>
      <c r="G34" s="248"/>
      <c r="H34" s="248"/>
      <c r="I34" s="248"/>
      <c r="J34" s="248"/>
      <c r="K34" s="248"/>
      <c r="L34" s="248"/>
      <c r="M34" s="248"/>
      <c r="N34" s="248"/>
      <c r="O34" s="248"/>
      <c r="P34" s="248"/>
      <c r="Q34" s="248"/>
      <c r="R34" s="248"/>
      <c r="S34" s="248"/>
      <c r="T34" s="248"/>
      <c r="U34" s="248"/>
      <c r="V34" s="248"/>
      <c r="W34" s="248"/>
      <c r="X34" s="248"/>
      <c r="Y34" s="249"/>
    </row>
    <row r="35" spans="1:25" ht="27" customHeight="1" x14ac:dyDescent="0.15">
      <c r="A35" s="181" t="s">
        <v>14</v>
      </c>
      <c r="B35" s="184" t="s">
        <v>16</v>
      </c>
      <c r="C35" s="185"/>
      <c r="D35" s="185"/>
      <c r="E35" s="187" t="str">
        <f>基本画面!H23&amp;"　"&amp;基本画面!I23</f>
        <v>　</v>
      </c>
      <c r="F35" s="188"/>
      <c r="G35" s="188"/>
      <c r="H35" s="188"/>
      <c r="I35" s="188"/>
      <c r="J35" s="188"/>
      <c r="K35" s="188"/>
      <c r="L35" s="188"/>
      <c r="M35" s="188"/>
      <c r="N35" s="188"/>
      <c r="O35" s="188"/>
      <c r="P35" s="188"/>
      <c r="Q35" s="188"/>
      <c r="R35" s="188"/>
      <c r="S35" s="188"/>
      <c r="T35" s="188"/>
      <c r="U35" s="188"/>
      <c r="V35" s="188"/>
      <c r="W35" s="188"/>
      <c r="X35" s="188"/>
      <c r="Y35" s="189"/>
    </row>
    <row r="36" spans="1:25" ht="15" customHeight="1" x14ac:dyDescent="0.15">
      <c r="A36" s="182"/>
      <c r="B36" s="190" t="s">
        <v>17</v>
      </c>
      <c r="C36" s="191"/>
      <c r="D36" s="191"/>
      <c r="E36" s="190" t="str">
        <f>IF(基本画面!D23=0,"",基本画面!D23)</f>
        <v/>
      </c>
      <c r="F36" s="191"/>
      <c r="G36" s="191"/>
      <c r="H36" s="191"/>
      <c r="I36" s="191"/>
      <c r="J36" s="191"/>
      <c r="K36" s="191"/>
      <c r="L36" s="191"/>
      <c r="M36" s="191"/>
      <c r="N36" s="191"/>
      <c r="O36" s="191"/>
      <c r="P36" s="191"/>
      <c r="Q36" s="191"/>
      <c r="R36" s="190" t="s">
        <v>12</v>
      </c>
      <c r="S36" s="191"/>
      <c r="T36" s="191"/>
      <c r="U36" s="195"/>
      <c r="V36" s="190" t="s">
        <v>455</v>
      </c>
      <c r="W36" s="191"/>
      <c r="X36" s="191"/>
      <c r="Y36" s="196"/>
    </row>
    <row r="37" spans="1:25" ht="26.25" customHeight="1" thickBot="1" x14ac:dyDescent="0.2">
      <c r="A37" s="183"/>
      <c r="B37" s="203"/>
      <c r="C37" s="204"/>
      <c r="D37" s="204"/>
      <c r="E37" s="192" t="str">
        <f>IF(基本画面!C23=0,"",基本画面!C23)</f>
        <v/>
      </c>
      <c r="F37" s="193"/>
      <c r="G37" s="193"/>
      <c r="H37" s="193"/>
      <c r="I37" s="193"/>
      <c r="J37" s="193"/>
      <c r="K37" s="193"/>
      <c r="L37" s="193"/>
      <c r="M37" s="193"/>
      <c r="N37" s="193"/>
      <c r="O37" s="193"/>
      <c r="P37" s="193"/>
      <c r="Q37" s="194"/>
      <c r="R37" s="197" t="str">
        <f>IF(基本画面!E23=0,"",基本画面!E23)</f>
        <v/>
      </c>
      <c r="S37" s="198"/>
      <c r="T37" s="198"/>
      <c r="U37" s="199"/>
      <c r="V37" s="200" t="s">
        <v>452</v>
      </c>
      <c r="W37" s="201"/>
      <c r="X37" s="201"/>
      <c r="Y37" s="202"/>
    </row>
    <row r="38" spans="1:25" ht="22.5" customHeight="1" x14ac:dyDescent="0.15">
      <c r="A38" s="182" t="s">
        <v>15</v>
      </c>
      <c r="B38" s="226" t="s">
        <v>18</v>
      </c>
      <c r="C38" s="227"/>
      <c r="D38" s="227"/>
      <c r="E38" s="302" t="s">
        <v>22</v>
      </c>
      <c r="F38" s="186"/>
      <c r="G38" s="186"/>
      <c r="H38" s="186"/>
      <c r="I38" s="186"/>
      <c r="J38" s="186"/>
      <c r="K38" s="186"/>
      <c r="L38" s="186"/>
      <c r="M38" s="186"/>
      <c r="N38" s="186"/>
      <c r="O38" s="186"/>
      <c r="P38" s="186"/>
      <c r="Q38" s="186"/>
      <c r="R38" s="186"/>
      <c r="S38" s="186"/>
      <c r="T38" s="186"/>
      <c r="U38" s="303"/>
      <c r="V38" s="227" t="s">
        <v>453</v>
      </c>
      <c r="W38" s="227"/>
      <c r="X38" s="227"/>
      <c r="Y38" s="235"/>
    </row>
    <row r="39" spans="1:25" ht="22.5" customHeight="1" x14ac:dyDescent="0.15">
      <c r="A39" s="182"/>
      <c r="B39" s="226"/>
      <c r="C39" s="227"/>
      <c r="D39" s="227"/>
      <c r="E39" s="302"/>
      <c r="F39" s="186"/>
      <c r="G39" s="186"/>
      <c r="H39" s="186"/>
      <c r="I39" s="186"/>
      <c r="J39" s="186"/>
      <c r="K39" s="186"/>
      <c r="L39" s="186"/>
      <c r="M39" s="186"/>
      <c r="N39" s="186"/>
      <c r="O39" s="186"/>
      <c r="P39" s="186"/>
      <c r="Q39" s="186"/>
      <c r="R39" s="186"/>
      <c r="S39" s="186"/>
      <c r="T39" s="186"/>
      <c r="U39" s="303"/>
      <c r="V39" s="190" t="s">
        <v>454</v>
      </c>
      <c r="W39" s="191"/>
      <c r="X39" s="191"/>
      <c r="Y39" s="196"/>
    </row>
    <row r="40" spans="1:25" ht="22.5" customHeight="1" x14ac:dyDescent="0.15">
      <c r="A40" s="182"/>
      <c r="B40" s="190" t="s">
        <v>447</v>
      </c>
      <c r="C40" s="191"/>
      <c r="D40" s="191"/>
      <c r="E40" s="191"/>
      <c r="F40" s="191"/>
      <c r="G40" s="191"/>
      <c r="H40" s="191"/>
      <c r="I40" s="191"/>
      <c r="J40" s="191"/>
      <c r="K40" s="191"/>
      <c r="L40" s="191"/>
      <c r="M40" s="191"/>
      <c r="N40" s="191"/>
      <c r="O40" s="191"/>
      <c r="P40" s="191"/>
      <c r="Q40" s="191"/>
      <c r="R40" s="191"/>
      <c r="S40" s="190"/>
      <c r="T40" s="191"/>
      <c r="U40" s="195"/>
      <c r="V40" s="190" t="s">
        <v>19</v>
      </c>
      <c r="W40" s="191"/>
      <c r="X40" s="191"/>
      <c r="Y40" s="196"/>
    </row>
    <row r="41" spans="1:25" ht="22.5" customHeight="1" x14ac:dyDescent="0.15">
      <c r="A41" s="182"/>
      <c r="B41" s="220" t="s">
        <v>445</v>
      </c>
      <c r="C41" s="221"/>
      <c r="D41" s="221"/>
      <c r="E41" s="221"/>
      <c r="F41" s="221"/>
      <c r="G41" s="221"/>
      <c r="H41" s="221"/>
      <c r="I41" s="221"/>
      <c r="J41" s="221"/>
      <c r="K41" s="221"/>
      <c r="L41" s="221"/>
      <c r="M41" s="221"/>
      <c r="N41" s="221"/>
      <c r="O41" s="221"/>
      <c r="P41" s="221"/>
      <c r="Q41" s="221"/>
      <c r="R41" s="222"/>
      <c r="S41" s="226"/>
      <c r="T41" s="227"/>
      <c r="U41" s="228"/>
      <c r="V41" s="209" t="str">
        <f>VLOOKUP(V42,基本画面!$G$72:$H$150,2,FALSE)</f>
        <v>050-6861-5751</v>
      </c>
      <c r="W41" s="210"/>
      <c r="X41" s="210"/>
      <c r="Y41" s="211"/>
    </row>
    <row r="42" spans="1:25" ht="22.5" customHeight="1" thickBot="1" x14ac:dyDescent="0.2">
      <c r="A42" s="183"/>
      <c r="B42" s="223"/>
      <c r="C42" s="224"/>
      <c r="D42" s="224"/>
      <c r="E42" s="224"/>
      <c r="F42" s="224"/>
      <c r="G42" s="224"/>
      <c r="H42" s="224"/>
      <c r="I42" s="224"/>
      <c r="J42" s="224"/>
      <c r="K42" s="224"/>
      <c r="L42" s="224"/>
      <c r="M42" s="224"/>
      <c r="N42" s="224"/>
      <c r="O42" s="224"/>
      <c r="P42" s="224"/>
      <c r="Q42" s="224"/>
      <c r="R42" s="225"/>
      <c r="S42" s="203"/>
      <c r="T42" s="204"/>
      <c r="U42" s="229"/>
      <c r="V42" s="212" t="str">
        <f>基本画面!E43</f>
        <v>増田</v>
      </c>
      <c r="W42" s="213"/>
      <c r="X42" s="213"/>
      <c r="Y42" s="214"/>
    </row>
    <row r="43" spans="1:25" ht="22.5" customHeight="1" x14ac:dyDescent="0.15">
      <c r="A43" s="172" t="s">
        <v>550</v>
      </c>
      <c r="B43" s="172"/>
      <c r="C43" s="172"/>
      <c r="D43" s="172"/>
      <c r="E43" s="172"/>
      <c r="F43" s="172"/>
      <c r="G43" s="172"/>
      <c r="H43" s="172"/>
      <c r="I43" s="172"/>
      <c r="J43" s="172"/>
      <c r="K43" s="172"/>
      <c r="L43" s="172"/>
      <c r="M43" s="172"/>
      <c r="N43" s="172"/>
      <c r="O43" s="172"/>
      <c r="P43" s="172"/>
      <c r="Q43" s="172"/>
      <c r="R43" s="172"/>
      <c r="S43" s="172"/>
      <c r="T43" s="172"/>
      <c r="U43" s="172"/>
      <c r="V43" s="171" t="s">
        <v>21</v>
      </c>
      <c r="W43" s="171"/>
      <c r="X43" s="171"/>
      <c r="Y43" s="171"/>
    </row>
    <row r="44" spans="1:25" ht="22.5" customHeight="1" x14ac:dyDescent="0.15">
      <c r="A44" s="173" t="str">
        <f>IFERROR("従たる事務所（返送先）："&amp;VLOOKUP(基本画面!$D$43,基本画面!$N$73:$T$150,3,FALSE),"")</f>
        <v/>
      </c>
      <c r="B44" s="173"/>
      <c r="C44" s="173"/>
      <c r="D44" s="173"/>
      <c r="E44" s="173"/>
      <c r="F44" s="173"/>
      <c r="G44" s="173"/>
      <c r="H44" s="173"/>
      <c r="I44" s="173"/>
      <c r="J44" s="173"/>
      <c r="K44" s="173"/>
      <c r="L44" s="173"/>
      <c r="M44" s="173"/>
      <c r="N44" s="173"/>
      <c r="O44" s="173"/>
      <c r="P44" s="173"/>
      <c r="Q44" s="173"/>
      <c r="R44" s="173"/>
      <c r="S44" s="173"/>
      <c r="T44" s="173"/>
      <c r="U44" s="173"/>
      <c r="V44" s="186">
        <f>基本画面!B9</f>
        <v>0</v>
      </c>
      <c r="W44" s="186"/>
      <c r="X44" s="186"/>
      <c r="Y44" s="186"/>
    </row>
  </sheetData>
  <mergeCells count="77">
    <mergeCell ref="V42:Y42"/>
    <mergeCell ref="V44:Y44"/>
    <mergeCell ref="A38:A42"/>
    <mergeCell ref="B38:D39"/>
    <mergeCell ref="E38:U39"/>
    <mergeCell ref="V38:Y38"/>
    <mergeCell ref="V39:Y39"/>
    <mergeCell ref="B40:R40"/>
    <mergeCell ref="S40:U42"/>
    <mergeCell ref="V40:Y40"/>
    <mergeCell ref="B41:R42"/>
    <mergeCell ref="V41:Y41"/>
    <mergeCell ref="A35:A37"/>
    <mergeCell ref="B35:D35"/>
    <mergeCell ref="E35:Y35"/>
    <mergeCell ref="B36:D37"/>
    <mergeCell ref="E36:Q36"/>
    <mergeCell ref="R36:U36"/>
    <mergeCell ref="V36:Y36"/>
    <mergeCell ref="E37:Q37"/>
    <mergeCell ref="R37:U37"/>
    <mergeCell ref="V37:Y37"/>
    <mergeCell ref="A23:D30"/>
    <mergeCell ref="E23:Y23"/>
    <mergeCell ref="E24:Y24"/>
    <mergeCell ref="E25:Y25"/>
    <mergeCell ref="E26:Y26"/>
    <mergeCell ref="E27:Y27"/>
    <mergeCell ref="E28:Y28"/>
    <mergeCell ref="E29:H30"/>
    <mergeCell ref="I29:Q29"/>
    <mergeCell ref="R29:U29"/>
    <mergeCell ref="V29:Y29"/>
    <mergeCell ref="I30:Q30"/>
    <mergeCell ref="R30:U30"/>
    <mergeCell ref="V30:Y30"/>
    <mergeCell ref="A31:D34"/>
    <mergeCell ref="F31:Y31"/>
    <mergeCell ref="F32:Y32"/>
    <mergeCell ref="F33:Y33"/>
    <mergeCell ref="F34:Y34"/>
    <mergeCell ref="F12:Y12"/>
    <mergeCell ref="A7:D7"/>
    <mergeCell ref="E7:Y7"/>
    <mergeCell ref="A13:D22"/>
    <mergeCell ref="F13:Y13"/>
    <mergeCell ref="F14:Y14"/>
    <mergeCell ref="F15:Y15"/>
    <mergeCell ref="F16:Y16"/>
    <mergeCell ref="F22:Y22"/>
    <mergeCell ref="F17:Y17"/>
    <mergeCell ref="F18:Y18"/>
    <mergeCell ref="F19:Y19"/>
    <mergeCell ref="F20:Y20"/>
    <mergeCell ref="F21:Y21"/>
    <mergeCell ref="E16:E17"/>
    <mergeCell ref="F9:P9"/>
    <mergeCell ref="R9:V9"/>
    <mergeCell ref="F10:M10"/>
    <mergeCell ref="O10:V10"/>
    <mergeCell ref="F11:Y11"/>
    <mergeCell ref="A43:U43"/>
    <mergeCell ref="A44:U44"/>
    <mergeCell ref="V43:Y43"/>
    <mergeCell ref="A1:Y2"/>
    <mergeCell ref="A3:Y3"/>
    <mergeCell ref="A4:D4"/>
    <mergeCell ref="E4:Y4"/>
    <mergeCell ref="A5:D5"/>
    <mergeCell ref="E5:Y5"/>
    <mergeCell ref="A6:D6"/>
    <mergeCell ref="E6:Y6"/>
    <mergeCell ref="A8:D12"/>
    <mergeCell ref="F8:H8"/>
    <mergeCell ref="J8:P8"/>
    <mergeCell ref="R8:V8"/>
    <mergeCell ref="W8:Y10"/>
  </mergeCells>
  <phoneticPr fontId="1"/>
  <printOptions horizontalCentered="1"/>
  <pageMargins left="0" right="0" top="0" bottom="0" header="0" footer="0"/>
  <pageSetup paperSize="9" scale="8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1">
              <controlPr defaultSize="0" autoFill="0" autoLine="0" autoPict="0">
                <anchor moveWithCells="1">
                  <from>
                    <xdr:col>4</xdr:col>
                    <xdr:colOff>38100</xdr:colOff>
                    <xdr:row>12</xdr:row>
                    <xdr:rowOff>19050</xdr:rowOff>
                  </from>
                  <to>
                    <xdr:col>5</xdr:col>
                    <xdr:colOff>0</xdr:colOff>
                    <xdr:row>12</xdr:row>
                    <xdr:rowOff>266700</xdr:rowOff>
                  </to>
                </anchor>
              </controlPr>
            </control>
          </mc:Choice>
        </mc:AlternateContent>
        <mc:AlternateContent xmlns:mc="http://schemas.openxmlformats.org/markup-compatibility/2006">
          <mc:Choice Requires="x14">
            <control shapeId="12290" r:id="rId5" name="Check Box 2">
              <controlPr defaultSize="0" autoFill="0" autoLine="0" autoPict="0">
                <anchor moveWithCells="1">
                  <from>
                    <xdr:col>4</xdr:col>
                    <xdr:colOff>38100</xdr:colOff>
                    <xdr:row>13</xdr:row>
                    <xdr:rowOff>19050</xdr:rowOff>
                  </from>
                  <to>
                    <xdr:col>5</xdr:col>
                    <xdr:colOff>0</xdr:colOff>
                    <xdr:row>13</xdr:row>
                    <xdr:rowOff>266700</xdr:rowOff>
                  </to>
                </anchor>
              </controlPr>
            </control>
          </mc:Choice>
        </mc:AlternateContent>
        <mc:AlternateContent xmlns:mc="http://schemas.openxmlformats.org/markup-compatibility/2006">
          <mc:Choice Requires="x14">
            <control shapeId="12291" r:id="rId6" name="Check Box 3">
              <controlPr defaultSize="0" autoFill="0" autoLine="0" autoPict="0">
                <anchor moveWithCells="1">
                  <from>
                    <xdr:col>4</xdr:col>
                    <xdr:colOff>38100</xdr:colOff>
                    <xdr:row>14</xdr:row>
                    <xdr:rowOff>19050</xdr:rowOff>
                  </from>
                  <to>
                    <xdr:col>5</xdr:col>
                    <xdr:colOff>0</xdr:colOff>
                    <xdr:row>14</xdr:row>
                    <xdr:rowOff>266700</xdr:rowOff>
                  </to>
                </anchor>
              </controlPr>
            </control>
          </mc:Choice>
        </mc:AlternateContent>
        <mc:AlternateContent xmlns:mc="http://schemas.openxmlformats.org/markup-compatibility/2006">
          <mc:Choice Requires="x14">
            <control shapeId="12295" r:id="rId7" name="Check Box 7">
              <controlPr defaultSize="0" autoFill="0" autoLine="0" autoPict="0">
                <anchor moveWithCells="1">
                  <from>
                    <xdr:col>4</xdr:col>
                    <xdr:colOff>38100</xdr:colOff>
                    <xdr:row>18</xdr:row>
                    <xdr:rowOff>19050</xdr:rowOff>
                  </from>
                  <to>
                    <xdr:col>5</xdr:col>
                    <xdr:colOff>0</xdr:colOff>
                    <xdr:row>18</xdr:row>
                    <xdr:rowOff>266700</xdr:rowOff>
                  </to>
                </anchor>
              </controlPr>
            </control>
          </mc:Choice>
        </mc:AlternateContent>
        <mc:AlternateContent xmlns:mc="http://schemas.openxmlformats.org/markup-compatibility/2006">
          <mc:Choice Requires="x14">
            <control shapeId="12296" r:id="rId8" name="Check Box 8">
              <controlPr defaultSize="0" autoFill="0" autoLine="0" autoPict="0">
                <anchor moveWithCells="1">
                  <from>
                    <xdr:col>4</xdr:col>
                    <xdr:colOff>38100</xdr:colOff>
                    <xdr:row>19</xdr:row>
                    <xdr:rowOff>19050</xdr:rowOff>
                  </from>
                  <to>
                    <xdr:col>5</xdr:col>
                    <xdr:colOff>0</xdr:colOff>
                    <xdr:row>19</xdr:row>
                    <xdr:rowOff>266700</xdr:rowOff>
                  </to>
                </anchor>
              </controlPr>
            </control>
          </mc:Choice>
        </mc:AlternateContent>
        <mc:AlternateContent xmlns:mc="http://schemas.openxmlformats.org/markup-compatibility/2006">
          <mc:Choice Requires="x14">
            <control shapeId="12297" r:id="rId9" name="Check Box 9">
              <controlPr defaultSize="0" autoFill="0" autoLine="0" autoPict="0">
                <anchor moveWithCells="1">
                  <from>
                    <xdr:col>4</xdr:col>
                    <xdr:colOff>38100</xdr:colOff>
                    <xdr:row>20</xdr:row>
                    <xdr:rowOff>19050</xdr:rowOff>
                  </from>
                  <to>
                    <xdr:col>5</xdr:col>
                    <xdr:colOff>0</xdr:colOff>
                    <xdr:row>20</xdr:row>
                    <xdr:rowOff>266700</xdr:rowOff>
                  </to>
                </anchor>
              </controlPr>
            </control>
          </mc:Choice>
        </mc:AlternateContent>
        <mc:AlternateContent xmlns:mc="http://schemas.openxmlformats.org/markup-compatibility/2006">
          <mc:Choice Requires="x14">
            <control shapeId="12298" r:id="rId10" name="Check Box 10">
              <controlPr defaultSize="0" autoFill="0" autoLine="0" autoPict="0">
                <anchor moveWithCells="1">
                  <from>
                    <xdr:col>4</xdr:col>
                    <xdr:colOff>38100</xdr:colOff>
                    <xdr:row>21</xdr:row>
                    <xdr:rowOff>19050</xdr:rowOff>
                  </from>
                  <to>
                    <xdr:col>5</xdr:col>
                    <xdr:colOff>0</xdr:colOff>
                    <xdr:row>21</xdr:row>
                    <xdr:rowOff>266700</xdr:rowOff>
                  </to>
                </anchor>
              </controlPr>
            </control>
          </mc:Choice>
        </mc:AlternateContent>
        <mc:AlternateContent xmlns:mc="http://schemas.openxmlformats.org/markup-compatibility/2006">
          <mc:Choice Requires="x14">
            <control shapeId="12299" r:id="rId11" name="Check Box 11">
              <controlPr defaultSize="0" autoFill="0" autoLine="0" autoPict="0">
                <anchor moveWithCells="1">
                  <from>
                    <xdr:col>4</xdr:col>
                    <xdr:colOff>38100</xdr:colOff>
                    <xdr:row>30</xdr:row>
                    <xdr:rowOff>19050</xdr:rowOff>
                  </from>
                  <to>
                    <xdr:col>5</xdr:col>
                    <xdr:colOff>0</xdr:colOff>
                    <xdr:row>30</xdr:row>
                    <xdr:rowOff>266700</xdr:rowOff>
                  </to>
                </anchor>
              </controlPr>
            </control>
          </mc:Choice>
        </mc:AlternateContent>
        <mc:AlternateContent xmlns:mc="http://schemas.openxmlformats.org/markup-compatibility/2006">
          <mc:Choice Requires="x14">
            <control shapeId="12300" r:id="rId12" name="Check Box 12">
              <controlPr defaultSize="0" autoFill="0" autoLine="0" autoPict="0">
                <anchor moveWithCells="1">
                  <from>
                    <xdr:col>4</xdr:col>
                    <xdr:colOff>38100</xdr:colOff>
                    <xdr:row>31</xdr:row>
                    <xdr:rowOff>19050</xdr:rowOff>
                  </from>
                  <to>
                    <xdr:col>5</xdr:col>
                    <xdr:colOff>0</xdr:colOff>
                    <xdr:row>31</xdr:row>
                    <xdr:rowOff>266700</xdr:rowOff>
                  </to>
                </anchor>
              </controlPr>
            </control>
          </mc:Choice>
        </mc:AlternateContent>
        <mc:AlternateContent xmlns:mc="http://schemas.openxmlformats.org/markup-compatibility/2006">
          <mc:Choice Requires="x14">
            <control shapeId="12301" r:id="rId13" name="Check Box 13">
              <controlPr defaultSize="0" autoFill="0" autoLine="0" autoPict="0">
                <anchor moveWithCells="1">
                  <from>
                    <xdr:col>4</xdr:col>
                    <xdr:colOff>38100</xdr:colOff>
                    <xdr:row>32</xdr:row>
                    <xdr:rowOff>19050</xdr:rowOff>
                  </from>
                  <to>
                    <xdr:col>5</xdr:col>
                    <xdr:colOff>0</xdr:colOff>
                    <xdr:row>32</xdr:row>
                    <xdr:rowOff>266700</xdr:rowOff>
                  </to>
                </anchor>
              </controlPr>
            </control>
          </mc:Choice>
        </mc:AlternateContent>
        <mc:AlternateContent xmlns:mc="http://schemas.openxmlformats.org/markup-compatibility/2006">
          <mc:Choice Requires="x14">
            <control shapeId="12302" r:id="rId14" name="Check Box 14">
              <controlPr defaultSize="0" autoFill="0" autoLine="0" autoPict="0">
                <anchor moveWithCells="1">
                  <from>
                    <xdr:col>4</xdr:col>
                    <xdr:colOff>38100</xdr:colOff>
                    <xdr:row>33</xdr:row>
                    <xdr:rowOff>19050</xdr:rowOff>
                  </from>
                  <to>
                    <xdr:col>5</xdr:col>
                    <xdr:colOff>0</xdr:colOff>
                    <xdr:row>33</xdr:row>
                    <xdr:rowOff>266700</xdr:rowOff>
                  </to>
                </anchor>
              </controlPr>
            </control>
          </mc:Choice>
        </mc:AlternateContent>
        <mc:AlternateContent xmlns:mc="http://schemas.openxmlformats.org/markup-compatibility/2006">
          <mc:Choice Requires="x14">
            <control shapeId="12303" r:id="rId15" name="Check Box 15">
              <controlPr defaultSize="0" autoFill="0" autoLine="0" autoPict="0">
                <anchor moveWithCells="1">
                  <from>
                    <xdr:col>4</xdr:col>
                    <xdr:colOff>38100</xdr:colOff>
                    <xdr:row>7</xdr:row>
                    <xdr:rowOff>19050</xdr:rowOff>
                  </from>
                  <to>
                    <xdr:col>5</xdr:col>
                    <xdr:colOff>0</xdr:colOff>
                    <xdr:row>7</xdr:row>
                    <xdr:rowOff>266700</xdr:rowOff>
                  </to>
                </anchor>
              </controlPr>
            </control>
          </mc:Choice>
        </mc:AlternateContent>
        <mc:AlternateContent xmlns:mc="http://schemas.openxmlformats.org/markup-compatibility/2006">
          <mc:Choice Requires="x14">
            <control shapeId="12304" r:id="rId16" name="Check Box 16">
              <controlPr defaultSize="0" autoFill="0" autoLine="0" autoPict="0">
                <anchor moveWithCells="1">
                  <from>
                    <xdr:col>8</xdr:col>
                    <xdr:colOff>38100</xdr:colOff>
                    <xdr:row>7</xdr:row>
                    <xdr:rowOff>19050</xdr:rowOff>
                  </from>
                  <to>
                    <xdr:col>9</xdr:col>
                    <xdr:colOff>0</xdr:colOff>
                    <xdr:row>7</xdr:row>
                    <xdr:rowOff>266700</xdr:rowOff>
                  </to>
                </anchor>
              </controlPr>
            </control>
          </mc:Choice>
        </mc:AlternateContent>
        <mc:AlternateContent xmlns:mc="http://schemas.openxmlformats.org/markup-compatibility/2006">
          <mc:Choice Requires="x14">
            <control shapeId="12305" r:id="rId17" name="Check Box 17">
              <controlPr defaultSize="0" autoFill="0" autoLine="0" autoPict="0">
                <anchor moveWithCells="1">
                  <from>
                    <xdr:col>16</xdr:col>
                    <xdr:colOff>38100</xdr:colOff>
                    <xdr:row>7</xdr:row>
                    <xdr:rowOff>19050</xdr:rowOff>
                  </from>
                  <to>
                    <xdr:col>17</xdr:col>
                    <xdr:colOff>0</xdr:colOff>
                    <xdr:row>7</xdr:row>
                    <xdr:rowOff>266700</xdr:rowOff>
                  </to>
                </anchor>
              </controlPr>
            </control>
          </mc:Choice>
        </mc:AlternateContent>
        <mc:AlternateContent xmlns:mc="http://schemas.openxmlformats.org/markup-compatibility/2006">
          <mc:Choice Requires="x14">
            <control shapeId="12306" r:id="rId18" name="Check Box 18">
              <controlPr defaultSize="0" autoFill="0" autoLine="0" autoPict="0">
                <anchor moveWithCells="1">
                  <from>
                    <xdr:col>4</xdr:col>
                    <xdr:colOff>38100</xdr:colOff>
                    <xdr:row>8</xdr:row>
                    <xdr:rowOff>19050</xdr:rowOff>
                  </from>
                  <to>
                    <xdr:col>5</xdr:col>
                    <xdr:colOff>0</xdr:colOff>
                    <xdr:row>8</xdr:row>
                    <xdr:rowOff>266700</xdr:rowOff>
                  </to>
                </anchor>
              </controlPr>
            </control>
          </mc:Choice>
        </mc:AlternateContent>
        <mc:AlternateContent xmlns:mc="http://schemas.openxmlformats.org/markup-compatibility/2006">
          <mc:Choice Requires="x14">
            <control shapeId="12307" r:id="rId19" name="Check Box 19">
              <controlPr defaultSize="0" autoFill="0" autoLine="0" autoPict="0">
                <anchor moveWithCells="1">
                  <from>
                    <xdr:col>16</xdr:col>
                    <xdr:colOff>38100</xdr:colOff>
                    <xdr:row>8</xdr:row>
                    <xdr:rowOff>19050</xdr:rowOff>
                  </from>
                  <to>
                    <xdr:col>17</xdr:col>
                    <xdr:colOff>0</xdr:colOff>
                    <xdr:row>8</xdr:row>
                    <xdr:rowOff>266700</xdr:rowOff>
                  </to>
                </anchor>
              </controlPr>
            </control>
          </mc:Choice>
        </mc:AlternateContent>
        <mc:AlternateContent xmlns:mc="http://schemas.openxmlformats.org/markup-compatibility/2006">
          <mc:Choice Requires="x14">
            <control shapeId="12308" r:id="rId20" name="Check Box 20">
              <controlPr defaultSize="0" autoFill="0" autoLine="0" autoPict="0">
                <anchor moveWithCells="1">
                  <from>
                    <xdr:col>4</xdr:col>
                    <xdr:colOff>38100</xdr:colOff>
                    <xdr:row>9</xdr:row>
                    <xdr:rowOff>19050</xdr:rowOff>
                  </from>
                  <to>
                    <xdr:col>5</xdr:col>
                    <xdr:colOff>0</xdr:colOff>
                    <xdr:row>9</xdr:row>
                    <xdr:rowOff>266700</xdr:rowOff>
                  </to>
                </anchor>
              </controlPr>
            </control>
          </mc:Choice>
        </mc:AlternateContent>
        <mc:AlternateContent xmlns:mc="http://schemas.openxmlformats.org/markup-compatibility/2006">
          <mc:Choice Requires="x14">
            <control shapeId="12309" r:id="rId21" name="Check Box 21">
              <controlPr defaultSize="0" autoFill="0" autoLine="0" autoPict="0">
                <anchor moveWithCells="1">
                  <from>
                    <xdr:col>4</xdr:col>
                    <xdr:colOff>38100</xdr:colOff>
                    <xdr:row>11</xdr:row>
                    <xdr:rowOff>19050</xdr:rowOff>
                  </from>
                  <to>
                    <xdr:col>5</xdr:col>
                    <xdr:colOff>0</xdr:colOff>
                    <xdr:row>11</xdr:row>
                    <xdr:rowOff>266700</xdr:rowOff>
                  </to>
                </anchor>
              </controlPr>
            </control>
          </mc:Choice>
        </mc:AlternateContent>
        <mc:AlternateContent xmlns:mc="http://schemas.openxmlformats.org/markup-compatibility/2006">
          <mc:Choice Requires="x14">
            <control shapeId="12310" r:id="rId22" name="Check Box 22">
              <controlPr defaultSize="0" autoFill="0" autoLine="0" autoPict="0">
                <anchor moveWithCells="1">
                  <from>
                    <xdr:col>4</xdr:col>
                    <xdr:colOff>38100</xdr:colOff>
                    <xdr:row>10</xdr:row>
                    <xdr:rowOff>19050</xdr:rowOff>
                  </from>
                  <to>
                    <xdr:col>5</xdr:col>
                    <xdr:colOff>0</xdr:colOff>
                    <xdr:row>10</xdr:row>
                    <xdr:rowOff>266700</xdr:rowOff>
                  </to>
                </anchor>
              </controlPr>
            </control>
          </mc:Choice>
        </mc:AlternateContent>
        <mc:AlternateContent xmlns:mc="http://schemas.openxmlformats.org/markup-compatibility/2006">
          <mc:Choice Requires="x14">
            <control shapeId="12311" r:id="rId23" name="Check Box 23">
              <controlPr defaultSize="0" autoFill="0" autoLine="0" autoPict="0">
                <anchor moveWithCells="1">
                  <from>
                    <xdr:col>13</xdr:col>
                    <xdr:colOff>38100</xdr:colOff>
                    <xdr:row>9</xdr:row>
                    <xdr:rowOff>19050</xdr:rowOff>
                  </from>
                  <to>
                    <xdr:col>14</xdr:col>
                    <xdr:colOff>0</xdr:colOff>
                    <xdr:row>9</xdr:row>
                    <xdr:rowOff>266700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24A45-C4C3-490B-B34D-F4BF6FD89F34}">
  <sheetPr codeName="Sheet6">
    <tabColor rgb="FFFFC000"/>
  </sheetPr>
  <dimension ref="A1:Y48"/>
  <sheetViews>
    <sheetView view="pageBreakPreview" workbookViewId="0">
      <selection sqref="A1:Y2"/>
    </sheetView>
  </sheetViews>
  <sheetFormatPr defaultColWidth="3.75" defaultRowHeight="22.5" customHeight="1" x14ac:dyDescent="0.15"/>
  <sheetData>
    <row r="1" spans="1:25" ht="22.5" customHeight="1" x14ac:dyDescent="0.15">
      <c r="A1" s="270" t="s">
        <v>33</v>
      </c>
      <c r="B1" s="270"/>
      <c r="C1" s="270"/>
      <c r="D1" s="270"/>
      <c r="E1" s="270"/>
      <c r="F1" s="270"/>
      <c r="G1" s="270"/>
      <c r="H1" s="270"/>
      <c r="I1" s="270"/>
      <c r="J1" s="270"/>
      <c r="K1" s="270"/>
      <c r="L1" s="270"/>
      <c r="M1" s="270"/>
      <c r="N1" s="270"/>
      <c r="O1" s="270"/>
      <c r="P1" s="270"/>
      <c r="Q1" s="270"/>
      <c r="R1" s="270"/>
      <c r="S1" s="270"/>
      <c r="T1" s="270"/>
      <c r="U1" s="270"/>
      <c r="V1" s="270"/>
      <c r="W1" s="270"/>
      <c r="X1" s="270"/>
      <c r="Y1" s="270"/>
    </row>
    <row r="2" spans="1:25" ht="22.5" customHeight="1" x14ac:dyDescent="0.15">
      <c r="A2" s="270"/>
      <c r="B2" s="270"/>
      <c r="C2" s="270"/>
      <c r="D2" s="270"/>
      <c r="E2" s="270"/>
      <c r="F2" s="270"/>
      <c r="G2" s="270"/>
      <c r="H2" s="270"/>
      <c r="I2" s="270"/>
      <c r="J2" s="270"/>
      <c r="K2" s="270"/>
      <c r="L2" s="270"/>
      <c r="M2" s="270"/>
      <c r="N2" s="270"/>
      <c r="O2" s="270"/>
      <c r="P2" s="270"/>
      <c r="Q2" s="270"/>
      <c r="R2" s="270"/>
      <c r="S2" s="270"/>
      <c r="T2" s="270"/>
      <c r="U2" s="270"/>
      <c r="V2" s="270"/>
      <c r="W2" s="270"/>
      <c r="X2" s="270"/>
      <c r="Y2" s="270"/>
    </row>
    <row r="3" spans="1:25" ht="22.5" customHeight="1" thickBot="1" x14ac:dyDescent="0.2">
      <c r="A3" s="259">
        <f ca="1">TODAY()</f>
        <v>45978</v>
      </c>
      <c r="B3" s="259"/>
      <c r="C3" s="259"/>
      <c r="D3" s="259"/>
      <c r="E3" s="259"/>
      <c r="F3" s="259"/>
      <c r="G3" s="259"/>
      <c r="H3" s="259"/>
      <c r="I3" s="259"/>
      <c r="J3" s="259"/>
      <c r="K3" s="259"/>
      <c r="L3" s="259"/>
      <c r="M3" s="259"/>
      <c r="N3" s="259"/>
      <c r="O3" s="259"/>
      <c r="P3" s="259"/>
      <c r="Q3" s="259"/>
      <c r="R3" s="259"/>
      <c r="S3" s="259"/>
      <c r="T3" s="259"/>
      <c r="U3" s="259"/>
      <c r="V3" s="259"/>
      <c r="W3" s="259"/>
      <c r="X3" s="259"/>
      <c r="Y3" s="259"/>
    </row>
    <row r="4" spans="1:25" ht="33.75" customHeight="1" x14ac:dyDescent="0.15">
      <c r="A4" s="236" t="s">
        <v>34</v>
      </c>
      <c r="B4" s="237"/>
      <c r="C4" s="237"/>
      <c r="D4" s="260"/>
      <c r="E4" s="237" t="str">
        <f>基本画面!H23&amp;"　"&amp;基本画面!I23</f>
        <v>　</v>
      </c>
      <c r="F4" s="237"/>
      <c r="G4" s="237"/>
      <c r="H4" s="237"/>
      <c r="I4" s="237"/>
      <c r="J4" s="237"/>
      <c r="K4" s="237"/>
      <c r="L4" s="237"/>
      <c r="M4" s="237"/>
      <c r="N4" s="237"/>
      <c r="O4" s="237"/>
      <c r="P4" s="237"/>
      <c r="Q4" s="237"/>
      <c r="R4" s="237"/>
      <c r="S4" s="237"/>
      <c r="T4" s="237"/>
      <c r="U4" s="237"/>
      <c r="V4" s="237"/>
      <c r="W4" s="237"/>
      <c r="X4" s="237"/>
      <c r="Y4" s="277"/>
    </row>
    <row r="5" spans="1:25" ht="33.75" customHeight="1" thickBot="1" x14ac:dyDescent="0.2">
      <c r="A5" s="319"/>
      <c r="B5" s="320"/>
      <c r="C5" s="320"/>
      <c r="D5" s="321"/>
      <c r="E5" s="292">
        <f>I35</f>
        <v>0</v>
      </c>
      <c r="F5" s="275"/>
      <c r="G5" s="275"/>
      <c r="H5" s="275"/>
      <c r="I5" s="275"/>
      <c r="J5" s="275"/>
      <c r="K5" s="275"/>
      <c r="L5" s="275"/>
      <c r="M5" s="275"/>
      <c r="N5" s="275"/>
      <c r="O5" s="275"/>
      <c r="P5" s="275"/>
      <c r="Q5" s="275"/>
      <c r="R5" s="275"/>
      <c r="S5" s="275"/>
      <c r="T5" s="275"/>
      <c r="U5" s="275"/>
      <c r="V5" s="275"/>
      <c r="W5" s="275"/>
      <c r="X5" s="275"/>
      <c r="Y5" s="279"/>
    </row>
    <row r="6" spans="1:25" ht="22.5" customHeight="1" x14ac:dyDescent="0.15">
      <c r="A6" s="236" t="s">
        <v>4</v>
      </c>
      <c r="B6" s="237"/>
      <c r="C6" s="237"/>
      <c r="D6" s="260"/>
      <c r="E6" s="9"/>
      <c r="F6" s="265" t="s">
        <v>35</v>
      </c>
      <c r="G6" s="265"/>
      <c r="H6" s="265"/>
      <c r="I6" s="265"/>
      <c r="J6" s="265"/>
      <c r="K6" s="265"/>
      <c r="L6" s="265"/>
      <c r="M6" s="265"/>
      <c r="N6" s="265"/>
      <c r="O6" s="265"/>
      <c r="P6" s="265"/>
      <c r="Q6" s="265"/>
      <c r="R6" s="265"/>
      <c r="S6" s="265"/>
      <c r="T6" s="265"/>
      <c r="U6" s="265"/>
      <c r="V6" s="266"/>
      <c r="W6" s="287" t="s">
        <v>23</v>
      </c>
      <c r="X6" s="237"/>
      <c r="Y6" s="277"/>
    </row>
    <row r="7" spans="1:25" ht="22.5" customHeight="1" x14ac:dyDescent="0.15">
      <c r="A7" s="238"/>
      <c r="B7" s="239"/>
      <c r="C7" s="239"/>
      <c r="D7" s="243"/>
      <c r="E7" s="6"/>
      <c r="F7" s="179" t="s">
        <v>36</v>
      </c>
      <c r="G7" s="179"/>
      <c r="H7" s="179"/>
      <c r="I7" s="179"/>
      <c r="J7" s="179"/>
      <c r="K7" s="179"/>
      <c r="L7" s="179"/>
      <c r="M7" s="179"/>
      <c r="N7" s="179"/>
      <c r="O7" s="179"/>
      <c r="P7" s="179"/>
      <c r="Q7" s="179"/>
      <c r="R7" s="179"/>
      <c r="S7" s="179"/>
      <c r="T7" s="179"/>
      <c r="U7" s="179"/>
      <c r="V7" s="268"/>
      <c r="W7" s="288"/>
      <c r="X7" s="239"/>
      <c r="Y7" s="289"/>
    </row>
    <row r="8" spans="1:25" ht="22.5" customHeight="1" x14ac:dyDescent="0.15">
      <c r="A8" s="238"/>
      <c r="B8" s="239"/>
      <c r="C8" s="239"/>
      <c r="D8" s="243"/>
      <c r="E8" s="10"/>
      <c r="F8" s="179" t="s">
        <v>37</v>
      </c>
      <c r="G8" s="179"/>
      <c r="H8" s="179"/>
      <c r="I8" s="179"/>
      <c r="J8" s="179"/>
      <c r="K8" s="179"/>
      <c r="L8" s="179"/>
      <c r="M8" s="179"/>
      <c r="N8" s="179"/>
      <c r="O8" s="179"/>
      <c r="P8" s="179"/>
      <c r="Q8" s="179"/>
      <c r="R8" s="179"/>
      <c r="S8" s="179"/>
      <c r="T8" s="179"/>
      <c r="U8" s="179"/>
      <c r="V8" s="268"/>
      <c r="W8" s="288"/>
      <c r="X8" s="239"/>
      <c r="Y8" s="289"/>
    </row>
    <row r="9" spans="1:25" ht="22.5" customHeight="1" x14ac:dyDescent="0.15">
      <c r="A9" s="238"/>
      <c r="B9" s="239"/>
      <c r="C9" s="239"/>
      <c r="D9" s="243"/>
      <c r="E9" s="7"/>
      <c r="F9" s="179" t="s">
        <v>38</v>
      </c>
      <c r="G9" s="179"/>
      <c r="H9" s="179"/>
      <c r="I9" s="179"/>
      <c r="J9" s="179"/>
      <c r="K9" s="179"/>
      <c r="L9" s="179"/>
      <c r="M9" s="179"/>
      <c r="N9" s="179"/>
      <c r="O9" s="179"/>
      <c r="P9" s="179"/>
      <c r="Q9" s="179"/>
      <c r="R9" s="179"/>
      <c r="S9" s="179"/>
      <c r="T9" s="179"/>
      <c r="U9" s="179"/>
      <c r="V9" s="179"/>
      <c r="W9" s="179"/>
      <c r="X9" s="179"/>
      <c r="Y9" s="180"/>
    </row>
    <row r="10" spans="1:25" ht="22.5" customHeight="1" x14ac:dyDescent="0.15">
      <c r="A10" s="238"/>
      <c r="B10" s="239"/>
      <c r="C10" s="239"/>
      <c r="D10" s="243"/>
      <c r="E10" s="322" t="s">
        <v>43</v>
      </c>
      <c r="F10" s="323"/>
      <c r="G10" s="323"/>
      <c r="H10" s="323"/>
      <c r="I10" s="323"/>
      <c r="J10" s="323"/>
      <c r="K10" s="323"/>
      <c r="L10" s="323"/>
      <c r="M10" s="323"/>
      <c r="N10" s="323"/>
      <c r="O10" s="323"/>
      <c r="P10" s="323"/>
      <c r="Q10" s="323"/>
      <c r="R10" s="323"/>
      <c r="S10" s="323"/>
      <c r="T10" s="323"/>
      <c r="U10" s="323"/>
      <c r="V10" s="323"/>
      <c r="W10" s="323"/>
      <c r="X10" s="323"/>
      <c r="Y10" s="324"/>
    </row>
    <row r="11" spans="1:25" ht="22.5" customHeight="1" x14ac:dyDescent="0.15">
      <c r="A11" s="238"/>
      <c r="B11" s="239"/>
      <c r="C11" s="239"/>
      <c r="D11" s="243"/>
      <c r="E11" s="322" t="s">
        <v>3</v>
      </c>
      <c r="F11" s="323"/>
      <c r="G11" s="323"/>
      <c r="H11" s="323"/>
      <c r="I11" s="323"/>
      <c r="J11" s="323"/>
      <c r="K11" s="322" t="s">
        <v>42</v>
      </c>
      <c r="L11" s="323"/>
      <c r="M11" s="323"/>
      <c r="N11" s="323"/>
      <c r="O11" s="323"/>
      <c r="P11" s="323"/>
      <c r="Q11" s="323"/>
      <c r="R11" s="323"/>
      <c r="S11" s="323"/>
      <c r="T11" s="342"/>
      <c r="U11" s="323" t="s">
        <v>41</v>
      </c>
      <c r="V11" s="323"/>
      <c r="W11" s="323"/>
      <c r="X11" s="323"/>
      <c r="Y11" s="324"/>
    </row>
    <row r="12" spans="1:25" ht="22.5" customHeight="1" x14ac:dyDescent="0.15">
      <c r="A12" s="238"/>
      <c r="B12" s="239"/>
      <c r="C12" s="239"/>
      <c r="D12" s="243"/>
      <c r="E12" s="1"/>
      <c r="F12" s="210" t="s">
        <v>39</v>
      </c>
      <c r="G12" s="210"/>
      <c r="H12" s="4"/>
      <c r="I12" s="210" t="s">
        <v>40</v>
      </c>
      <c r="J12" s="210"/>
      <c r="K12" s="304"/>
      <c r="L12" s="246"/>
      <c r="M12" s="246"/>
      <c r="N12" s="246"/>
      <c r="O12" s="246"/>
      <c r="P12" s="246"/>
      <c r="Q12" s="246"/>
      <c r="R12" s="246"/>
      <c r="S12" s="246"/>
      <c r="T12" s="335"/>
      <c r="U12" s="246"/>
      <c r="V12" s="246"/>
      <c r="W12" s="246"/>
      <c r="X12" s="246"/>
      <c r="Y12" s="247"/>
    </row>
    <row r="13" spans="1:25" ht="22.5" customHeight="1" x14ac:dyDescent="0.15">
      <c r="A13" s="238"/>
      <c r="B13" s="239"/>
      <c r="C13" s="239"/>
      <c r="D13" s="243"/>
      <c r="E13" s="1"/>
      <c r="F13" s="210" t="s">
        <v>39</v>
      </c>
      <c r="G13" s="210"/>
      <c r="H13" s="4"/>
      <c r="I13" s="210" t="s">
        <v>40</v>
      </c>
      <c r="J13" s="210"/>
      <c r="K13" s="304"/>
      <c r="L13" s="246"/>
      <c r="M13" s="246"/>
      <c r="N13" s="246"/>
      <c r="O13" s="246"/>
      <c r="P13" s="246"/>
      <c r="Q13" s="246"/>
      <c r="R13" s="246"/>
      <c r="S13" s="246"/>
      <c r="T13" s="335"/>
      <c r="U13" s="246"/>
      <c r="V13" s="246"/>
      <c r="W13" s="246"/>
      <c r="X13" s="246"/>
      <c r="Y13" s="247"/>
    </row>
    <row r="14" spans="1:25" ht="22.5" customHeight="1" x14ac:dyDescent="0.15">
      <c r="A14" s="238"/>
      <c r="B14" s="239"/>
      <c r="C14" s="239"/>
      <c r="D14" s="243"/>
      <c r="E14" s="1"/>
      <c r="F14" s="210" t="s">
        <v>39</v>
      </c>
      <c r="G14" s="210"/>
      <c r="H14" s="4"/>
      <c r="I14" s="210" t="s">
        <v>40</v>
      </c>
      <c r="J14" s="210"/>
      <c r="K14" s="304"/>
      <c r="L14" s="246"/>
      <c r="M14" s="246"/>
      <c r="N14" s="246"/>
      <c r="O14" s="246"/>
      <c r="P14" s="246"/>
      <c r="Q14" s="246"/>
      <c r="R14" s="246"/>
      <c r="S14" s="246"/>
      <c r="T14" s="335"/>
      <c r="U14" s="246"/>
      <c r="V14" s="246"/>
      <c r="W14" s="246"/>
      <c r="X14" s="246"/>
      <c r="Y14" s="247"/>
    </row>
    <row r="15" spans="1:25" ht="22.5" customHeight="1" thickBot="1" x14ac:dyDescent="0.2">
      <c r="A15" s="240"/>
      <c r="B15" s="241"/>
      <c r="C15" s="241"/>
      <c r="D15" s="261"/>
      <c r="E15" s="5"/>
      <c r="F15" s="201" t="s">
        <v>39</v>
      </c>
      <c r="G15" s="201"/>
      <c r="H15" s="12"/>
      <c r="I15" s="201" t="s">
        <v>40</v>
      </c>
      <c r="J15" s="339"/>
      <c r="K15" s="340"/>
      <c r="L15" s="248"/>
      <c r="M15" s="248"/>
      <c r="N15" s="248"/>
      <c r="O15" s="248"/>
      <c r="P15" s="248"/>
      <c r="Q15" s="248"/>
      <c r="R15" s="248"/>
      <c r="S15" s="248"/>
      <c r="T15" s="341"/>
      <c r="U15" s="248"/>
      <c r="V15" s="248"/>
      <c r="W15" s="248"/>
      <c r="X15" s="248"/>
      <c r="Y15" s="249"/>
    </row>
    <row r="16" spans="1:25" ht="22.5" customHeight="1" x14ac:dyDescent="0.15">
      <c r="A16" s="316" t="s">
        <v>47</v>
      </c>
      <c r="B16" s="317"/>
      <c r="C16" s="317"/>
      <c r="D16" s="317"/>
      <c r="E16" s="317"/>
      <c r="F16" s="317"/>
      <c r="G16" s="317"/>
      <c r="H16" s="317"/>
      <c r="I16" s="317"/>
      <c r="J16" s="317"/>
      <c r="K16" s="317"/>
      <c r="L16" s="317"/>
      <c r="M16" s="317"/>
      <c r="N16" s="317"/>
      <c r="O16" s="317"/>
      <c r="P16" s="317"/>
      <c r="Q16" s="317"/>
      <c r="R16" s="317"/>
      <c r="S16" s="317"/>
      <c r="T16" s="317"/>
      <c r="U16" s="317"/>
      <c r="V16" s="317"/>
      <c r="W16" s="317"/>
      <c r="X16" s="317"/>
      <c r="Y16" s="318"/>
    </row>
    <row r="17" spans="1:25" ht="22.5" customHeight="1" thickBot="1" x14ac:dyDescent="0.2">
      <c r="A17" s="14"/>
      <c r="B17" s="336" t="s">
        <v>44</v>
      </c>
      <c r="C17" s="336"/>
      <c r="D17" s="336"/>
      <c r="E17" s="15"/>
      <c r="F17" s="338" t="s">
        <v>46</v>
      </c>
      <c r="G17" s="338"/>
      <c r="H17" s="338"/>
      <c r="I17" s="338"/>
      <c r="J17" s="338"/>
      <c r="K17" s="15"/>
      <c r="L17" s="336" t="s">
        <v>45</v>
      </c>
      <c r="M17" s="336"/>
      <c r="N17" s="336"/>
      <c r="O17" s="15"/>
      <c r="P17" s="336" t="s">
        <v>48</v>
      </c>
      <c r="Q17" s="336"/>
      <c r="R17" s="336"/>
      <c r="S17" s="336"/>
      <c r="T17" s="15"/>
      <c r="U17" s="336" t="s">
        <v>67</v>
      </c>
      <c r="V17" s="336"/>
      <c r="W17" s="336"/>
      <c r="X17" s="336"/>
      <c r="Y17" s="337"/>
    </row>
    <row r="18" spans="1:25" ht="22.5" customHeight="1" x14ac:dyDescent="0.15">
      <c r="A18" s="316" t="s">
        <v>49</v>
      </c>
      <c r="B18" s="317"/>
      <c r="C18" s="317"/>
      <c r="D18" s="317"/>
      <c r="E18" s="317"/>
      <c r="F18" s="317"/>
      <c r="G18" s="317"/>
      <c r="H18" s="317"/>
      <c r="I18" s="317"/>
      <c r="J18" s="317"/>
      <c r="K18" s="317"/>
      <c r="L18" s="317"/>
      <c r="M18" s="317"/>
      <c r="N18" s="317"/>
      <c r="O18" s="317"/>
      <c r="P18" s="317"/>
      <c r="Q18" s="317"/>
      <c r="R18" s="317"/>
      <c r="S18" s="317"/>
      <c r="T18" s="317"/>
      <c r="U18" s="317"/>
      <c r="V18" s="317"/>
      <c r="W18" s="317"/>
      <c r="X18" s="317"/>
      <c r="Y18" s="318"/>
    </row>
    <row r="19" spans="1:25" ht="22.5" customHeight="1" x14ac:dyDescent="0.15">
      <c r="A19" s="13"/>
      <c r="B19" s="308" t="s">
        <v>304</v>
      </c>
      <c r="C19" s="308"/>
      <c r="D19" s="308"/>
      <c r="E19" s="308"/>
      <c r="F19" s="308"/>
      <c r="G19" s="308"/>
      <c r="H19" s="308"/>
      <c r="I19" s="308"/>
      <c r="J19" s="308"/>
      <c r="K19" s="308"/>
      <c r="L19" s="308"/>
      <c r="M19" s="308"/>
      <c r="N19" s="308"/>
      <c r="O19" s="308"/>
      <c r="P19" s="308"/>
      <c r="Q19" s="308"/>
      <c r="R19" s="308"/>
      <c r="S19" s="308"/>
      <c r="T19" s="308"/>
      <c r="U19" s="308"/>
      <c r="V19" s="308"/>
      <c r="W19" s="308"/>
      <c r="X19" s="308"/>
      <c r="Y19" s="309"/>
    </row>
    <row r="20" spans="1:25" ht="22.5" customHeight="1" x14ac:dyDescent="0.15">
      <c r="A20" s="16"/>
      <c r="B20" s="310" t="s">
        <v>69</v>
      </c>
      <c r="C20" s="310"/>
      <c r="D20" s="310"/>
      <c r="E20" s="310"/>
      <c r="F20" s="310"/>
      <c r="G20" s="310"/>
      <c r="H20" s="310"/>
      <c r="I20" s="310"/>
      <c r="J20" s="310"/>
      <c r="K20" s="310"/>
      <c r="L20" s="310"/>
      <c r="M20" s="310"/>
      <c r="N20" s="310"/>
      <c r="O20" s="310"/>
      <c r="P20" s="310"/>
      <c r="Q20" s="310"/>
      <c r="R20" s="310"/>
      <c r="S20" s="310"/>
      <c r="T20" s="310"/>
      <c r="U20" s="310"/>
      <c r="V20" s="310"/>
      <c r="W20" s="310"/>
      <c r="X20" s="310"/>
      <c r="Y20" s="311"/>
    </row>
    <row r="21" spans="1:25" ht="22.5" customHeight="1" x14ac:dyDescent="0.15">
      <c r="A21" s="17"/>
      <c r="B21" s="312" t="s">
        <v>70</v>
      </c>
      <c r="C21" s="312"/>
      <c r="D21" s="312"/>
      <c r="E21" s="312"/>
      <c r="F21" s="312"/>
      <c r="G21" s="312"/>
      <c r="H21" s="312"/>
      <c r="I21" s="312"/>
      <c r="J21" s="312"/>
      <c r="K21" s="312"/>
      <c r="L21" s="312"/>
      <c r="M21" s="312"/>
      <c r="N21" s="312"/>
      <c r="O21" s="312"/>
      <c r="P21" s="312"/>
      <c r="Q21" s="312"/>
      <c r="R21" s="312"/>
      <c r="S21" s="312"/>
      <c r="T21" s="312"/>
      <c r="U21" s="312"/>
      <c r="V21" s="312"/>
      <c r="W21" s="312"/>
      <c r="X21" s="312"/>
      <c r="Y21" s="313"/>
    </row>
    <row r="22" spans="1:25" ht="22.5" customHeight="1" x14ac:dyDescent="0.15">
      <c r="A22" s="16"/>
      <c r="B22" s="310" t="s">
        <v>50</v>
      </c>
      <c r="C22" s="310"/>
      <c r="D22" s="310"/>
      <c r="E22" s="310"/>
      <c r="F22" s="310"/>
      <c r="G22" s="310"/>
      <c r="H22" s="310"/>
      <c r="I22" s="310"/>
      <c r="J22" s="310"/>
      <c r="K22" s="310"/>
      <c r="L22" s="310"/>
      <c r="M22" s="310"/>
      <c r="N22" s="310"/>
      <c r="O22" s="310"/>
      <c r="P22" s="310"/>
      <c r="Q22" s="310"/>
      <c r="R22" s="310"/>
      <c r="S22" s="310"/>
      <c r="T22" s="310"/>
      <c r="U22" s="310"/>
      <c r="V22" s="310"/>
      <c r="W22" s="310"/>
      <c r="X22" s="310"/>
      <c r="Y22" s="311"/>
    </row>
    <row r="23" spans="1:25" ht="22.5" customHeight="1" x14ac:dyDescent="0.15">
      <c r="A23" s="16"/>
      <c r="B23" s="310" t="s">
        <v>51</v>
      </c>
      <c r="C23" s="310"/>
      <c r="D23" s="310"/>
      <c r="E23" s="310"/>
      <c r="F23" s="310"/>
      <c r="G23" s="310"/>
      <c r="H23" s="310"/>
      <c r="I23" s="310"/>
      <c r="J23" s="310"/>
      <c r="K23" s="310"/>
      <c r="L23" s="310"/>
      <c r="M23" s="310"/>
      <c r="N23" s="310"/>
      <c r="O23" s="310"/>
      <c r="P23" s="310"/>
      <c r="Q23" s="310"/>
      <c r="R23" s="310"/>
      <c r="S23" s="310"/>
      <c r="T23" s="310"/>
      <c r="U23" s="310"/>
      <c r="V23" s="310"/>
      <c r="W23" s="310"/>
      <c r="X23" s="310"/>
      <c r="Y23" s="311"/>
    </row>
    <row r="24" spans="1:25" ht="22.5" customHeight="1" thickBot="1" x14ac:dyDescent="0.2">
      <c r="A24" s="18"/>
      <c r="B24" s="314" t="s">
        <v>52</v>
      </c>
      <c r="C24" s="314"/>
      <c r="D24" s="314"/>
      <c r="E24" s="314"/>
      <c r="F24" s="314"/>
      <c r="G24" s="314"/>
      <c r="H24" s="314"/>
      <c r="I24" s="314"/>
      <c r="J24" s="314"/>
      <c r="K24" s="314"/>
      <c r="L24" s="314"/>
      <c r="M24" s="314"/>
      <c r="N24" s="314"/>
      <c r="O24" s="314"/>
      <c r="P24" s="314"/>
      <c r="Q24" s="314"/>
      <c r="R24" s="314"/>
      <c r="S24" s="314"/>
      <c r="T24" s="314"/>
      <c r="U24" s="314"/>
      <c r="V24" s="314"/>
      <c r="W24" s="314"/>
      <c r="X24" s="314"/>
      <c r="Y24" s="315"/>
    </row>
    <row r="25" spans="1:25" ht="22.5" customHeight="1" x14ac:dyDescent="0.15">
      <c r="A25" s="236" t="s">
        <v>5</v>
      </c>
      <c r="B25" s="237"/>
      <c r="C25" s="237"/>
      <c r="D25" s="237"/>
      <c r="E25" s="327" t="s">
        <v>58</v>
      </c>
      <c r="F25" s="328"/>
      <c r="G25" s="328"/>
      <c r="H25" s="328"/>
      <c r="I25" s="328"/>
      <c r="J25" s="328"/>
      <c r="K25" s="328"/>
      <c r="L25" s="328"/>
      <c r="M25" s="328"/>
      <c r="N25" s="328"/>
      <c r="O25" s="328"/>
      <c r="P25" s="328"/>
      <c r="Q25" s="328"/>
      <c r="R25" s="328"/>
      <c r="S25" s="328"/>
      <c r="T25" s="328"/>
      <c r="U25" s="328"/>
      <c r="V25" s="328"/>
      <c r="W25" s="328"/>
      <c r="X25" s="328"/>
      <c r="Y25" s="329"/>
    </row>
    <row r="26" spans="1:25" ht="22.5" customHeight="1" x14ac:dyDescent="0.15">
      <c r="A26" s="238"/>
      <c r="B26" s="239"/>
      <c r="C26" s="239"/>
      <c r="D26" s="239"/>
      <c r="E26" s="305" t="s">
        <v>59</v>
      </c>
      <c r="F26" s="306"/>
      <c r="G26" s="306"/>
      <c r="H26" s="306"/>
      <c r="I26" s="306"/>
      <c r="J26" s="306"/>
      <c r="K26" s="306"/>
      <c r="L26" s="306"/>
      <c r="M26" s="306"/>
      <c r="N26" s="306"/>
      <c r="O26" s="306"/>
      <c r="P26" s="306"/>
      <c r="Q26" s="306"/>
      <c r="R26" s="306"/>
      <c r="S26" s="306"/>
      <c r="T26" s="306"/>
      <c r="U26" s="306"/>
      <c r="V26" s="306"/>
      <c r="W26" s="306"/>
      <c r="X26" s="306"/>
      <c r="Y26" s="307"/>
    </row>
    <row r="27" spans="1:25" ht="22.5" customHeight="1" x14ac:dyDescent="0.15">
      <c r="A27" s="238"/>
      <c r="B27" s="239"/>
      <c r="C27" s="239"/>
      <c r="D27" s="239"/>
      <c r="E27" s="304" t="s">
        <v>53</v>
      </c>
      <c r="F27" s="246"/>
      <c r="G27" s="246"/>
      <c r="H27" s="246"/>
      <c r="I27" s="246"/>
      <c r="J27" s="246"/>
      <c r="K27" s="246"/>
      <c r="L27" s="246"/>
      <c r="M27" s="246"/>
      <c r="N27" s="246"/>
      <c r="O27" s="246"/>
      <c r="P27" s="246"/>
      <c r="Q27" s="246"/>
      <c r="R27" s="246"/>
      <c r="S27" s="246"/>
      <c r="T27" s="246"/>
      <c r="U27" s="246"/>
      <c r="V27" s="246"/>
      <c r="W27" s="246"/>
      <c r="X27" s="246"/>
      <c r="Y27" s="247"/>
    </row>
    <row r="28" spans="1:25" ht="22.5" customHeight="1" x14ac:dyDescent="0.15">
      <c r="A28" s="238"/>
      <c r="B28" s="239"/>
      <c r="C28" s="239"/>
      <c r="D28" s="239"/>
      <c r="E28" s="174" t="s">
        <v>54</v>
      </c>
      <c r="F28" s="175"/>
      <c r="G28" s="175"/>
      <c r="H28" s="175"/>
      <c r="I28" s="175"/>
      <c r="J28" s="175"/>
      <c r="K28" s="175"/>
      <c r="L28" s="175"/>
      <c r="M28" s="175"/>
      <c r="N28" s="175"/>
      <c r="O28" s="175"/>
      <c r="P28" s="175"/>
      <c r="Q28" s="175"/>
      <c r="R28" s="175"/>
      <c r="S28" s="175"/>
      <c r="T28" s="175"/>
      <c r="U28" s="175"/>
      <c r="V28" s="175"/>
      <c r="W28" s="175"/>
      <c r="X28" s="175"/>
      <c r="Y28" s="176"/>
    </row>
    <row r="29" spans="1:25" ht="22.5" customHeight="1" x14ac:dyDescent="0.15">
      <c r="A29" s="238"/>
      <c r="B29" s="239"/>
      <c r="C29" s="239"/>
      <c r="D29" s="239"/>
      <c r="E29" s="256" t="s">
        <v>55</v>
      </c>
      <c r="F29" s="257"/>
      <c r="G29" s="257"/>
      <c r="H29" s="257"/>
      <c r="I29" s="257"/>
      <c r="J29" s="257"/>
      <c r="K29" s="257"/>
      <c r="L29" s="257"/>
      <c r="M29" s="257"/>
      <c r="N29" s="257"/>
      <c r="O29" s="257"/>
      <c r="P29" s="257"/>
      <c r="Q29" s="257"/>
      <c r="R29" s="257"/>
      <c r="S29" s="257"/>
      <c r="T29" s="257"/>
      <c r="U29" s="257"/>
      <c r="V29" s="257"/>
      <c r="W29" s="257"/>
      <c r="X29" s="257"/>
      <c r="Y29" s="258"/>
    </row>
    <row r="30" spans="1:25" ht="22.5" customHeight="1" x14ac:dyDescent="0.15">
      <c r="A30" s="238"/>
      <c r="B30" s="239"/>
      <c r="C30" s="239"/>
      <c r="D30" s="239"/>
      <c r="E30" s="330" t="s">
        <v>56</v>
      </c>
      <c r="F30" s="205"/>
      <c r="G30" s="205"/>
      <c r="H30" s="205"/>
      <c r="I30" s="205"/>
      <c r="J30" s="205"/>
      <c r="K30" s="205"/>
      <c r="L30" s="205"/>
      <c r="M30" s="205"/>
      <c r="N30" s="205"/>
      <c r="O30" s="205"/>
      <c r="P30" s="205"/>
      <c r="Q30" s="205"/>
      <c r="R30" s="205"/>
      <c r="S30" s="205"/>
      <c r="T30" s="205"/>
      <c r="U30" s="205"/>
      <c r="V30" s="205"/>
      <c r="W30" s="205"/>
      <c r="X30" s="205"/>
      <c r="Y30" s="206"/>
    </row>
    <row r="31" spans="1:25" ht="22.5" customHeight="1" x14ac:dyDescent="0.15">
      <c r="A31" s="238"/>
      <c r="B31" s="239"/>
      <c r="C31" s="239"/>
      <c r="D31" s="239"/>
      <c r="E31" s="305" t="s">
        <v>57</v>
      </c>
      <c r="F31" s="306"/>
      <c r="G31" s="306"/>
      <c r="H31" s="306"/>
      <c r="I31" s="306"/>
      <c r="J31" s="306"/>
      <c r="K31" s="306"/>
      <c r="L31" s="306"/>
      <c r="M31" s="306"/>
      <c r="N31" s="306"/>
      <c r="O31" s="306"/>
      <c r="P31" s="306"/>
      <c r="Q31" s="306"/>
      <c r="R31" s="306"/>
      <c r="S31" s="306"/>
      <c r="T31" s="306"/>
      <c r="U31" s="306"/>
      <c r="V31" s="306"/>
      <c r="W31" s="306"/>
      <c r="X31" s="306"/>
      <c r="Y31" s="307"/>
    </row>
    <row r="32" spans="1:25" ht="22.5" customHeight="1" x14ac:dyDescent="0.15">
      <c r="A32" s="238"/>
      <c r="B32" s="239"/>
      <c r="C32" s="239"/>
      <c r="D32" s="239"/>
      <c r="E32" s="174" t="s">
        <v>7</v>
      </c>
      <c r="F32" s="175"/>
      <c r="G32" s="175"/>
      <c r="H32" s="175"/>
      <c r="I32" s="175"/>
      <c r="J32" s="175"/>
      <c r="K32" s="175"/>
      <c r="L32" s="175"/>
      <c r="M32" s="175"/>
      <c r="N32" s="175"/>
      <c r="O32" s="175"/>
      <c r="P32" s="175"/>
      <c r="Q32" s="175"/>
      <c r="R32" s="175"/>
      <c r="S32" s="175"/>
      <c r="T32" s="175"/>
      <c r="U32" s="175"/>
      <c r="V32" s="175"/>
      <c r="W32" s="175"/>
      <c r="X32" s="175"/>
      <c r="Y32" s="176"/>
    </row>
    <row r="33" spans="1:25" ht="22.5" customHeight="1" x14ac:dyDescent="0.15">
      <c r="A33" s="238"/>
      <c r="B33" s="239"/>
      <c r="C33" s="239"/>
      <c r="D33" s="239"/>
      <c r="E33" s="331"/>
      <c r="F33" s="332"/>
      <c r="G33" s="332"/>
      <c r="H33" s="332"/>
      <c r="I33" s="333"/>
      <c r="J33" s="333"/>
      <c r="K33" s="333"/>
      <c r="L33" s="333"/>
      <c r="M33" s="333"/>
      <c r="N33" s="333"/>
      <c r="O33" s="333"/>
      <c r="P33" s="333"/>
      <c r="Q33" s="333"/>
      <c r="R33" s="333"/>
      <c r="S33" s="333"/>
      <c r="T33" s="333"/>
      <c r="U33" s="333"/>
      <c r="V33" s="333"/>
      <c r="W33" s="333"/>
      <c r="X33" s="333"/>
      <c r="Y33" s="334"/>
    </row>
    <row r="34" spans="1:25" ht="15" customHeight="1" x14ac:dyDescent="0.15">
      <c r="A34" s="238"/>
      <c r="B34" s="239"/>
      <c r="C34" s="239"/>
      <c r="D34" s="239"/>
      <c r="E34" s="253" t="s">
        <v>451</v>
      </c>
      <c r="F34" s="254"/>
      <c r="G34" s="254"/>
      <c r="H34" s="255"/>
      <c r="I34" s="190" t="str">
        <f>IF(基本画面!D23=0,"",基本画面!D23)</f>
        <v/>
      </c>
      <c r="J34" s="191"/>
      <c r="K34" s="191"/>
      <c r="L34" s="191"/>
      <c r="M34" s="191"/>
      <c r="N34" s="191"/>
      <c r="O34" s="191"/>
      <c r="P34" s="191"/>
      <c r="Q34" s="195"/>
      <c r="R34" s="190" t="s">
        <v>12</v>
      </c>
      <c r="S34" s="191"/>
      <c r="T34" s="191"/>
      <c r="U34" s="195"/>
      <c r="V34" s="191" t="s">
        <v>11</v>
      </c>
      <c r="W34" s="191"/>
      <c r="X34" s="191"/>
      <c r="Y34" s="196"/>
    </row>
    <row r="35" spans="1:25" ht="26.25" customHeight="1" thickBot="1" x14ac:dyDescent="0.2">
      <c r="A35" s="240"/>
      <c r="B35" s="241"/>
      <c r="C35" s="241"/>
      <c r="D35" s="241"/>
      <c r="E35" s="223"/>
      <c r="F35" s="224"/>
      <c r="G35" s="224"/>
      <c r="H35" s="225"/>
      <c r="I35" s="215">
        <f>基本画面!C23</f>
        <v>0</v>
      </c>
      <c r="J35" s="216"/>
      <c r="K35" s="216"/>
      <c r="L35" s="216"/>
      <c r="M35" s="216"/>
      <c r="N35" s="216"/>
      <c r="O35" s="216"/>
      <c r="P35" s="216"/>
      <c r="Q35" s="217"/>
      <c r="R35" s="197" t="str">
        <f>IF(基本画面!E23=0,"",基本画面!E23)</f>
        <v/>
      </c>
      <c r="S35" s="198"/>
      <c r="T35" s="198"/>
      <c r="U35" s="199"/>
      <c r="V35" s="250" t="str">
        <f>IF(基本画面!F23=0,"",基本画面!F23)</f>
        <v/>
      </c>
      <c r="W35" s="251"/>
      <c r="X35" s="251"/>
      <c r="Y35" s="252"/>
    </row>
    <row r="36" spans="1:25" ht="22.5" customHeight="1" x14ac:dyDescent="0.15">
      <c r="A36" s="242" t="s">
        <v>13</v>
      </c>
      <c r="B36" s="239"/>
      <c r="C36" s="239"/>
      <c r="D36" s="243"/>
      <c r="E36" s="3"/>
      <c r="F36" s="325" t="s">
        <v>459</v>
      </c>
      <c r="G36" s="325"/>
      <c r="H36" s="325"/>
      <c r="I36" s="325"/>
      <c r="J36" s="325"/>
      <c r="K36" s="325"/>
      <c r="L36" s="325"/>
      <c r="M36" s="325"/>
      <c r="N36" s="325"/>
      <c r="O36" s="325"/>
      <c r="P36" s="325"/>
      <c r="Q36" s="325"/>
      <c r="R36" s="325"/>
      <c r="S36" s="325"/>
      <c r="T36" s="325"/>
      <c r="U36" s="325"/>
      <c r="V36" s="325"/>
      <c r="W36" s="325"/>
      <c r="X36" s="325"/>
      <c r="Y36" s="326"/>
    </row>
    <row r="37" spans="1:25" ht="22.5" customHeight="1" x14ac:dyDescent="0.15">
      <c r="A37" s="238"/>
      <c r="B37" s="239"/>
      <c r="C37" s="239"/>
      <c r="D37" s="243"/>
      <c r="E37" s="4"/>
      <c r="F37" s="246" t="s">
        <v>458</v>
      </c>
      <c r="G37" s="246"/>
      <c r="H37" s="246"/>
      <c r="I37" s="246"/>
      <c r="J37" s="246"/>
      <c r="K37" s="246"/>
      <c r="L37" s="246"/>
      <c r="M37" s="246"/>
      <c r="N37" s="246"/>
      <c r="O37" s="246"/>
      <c r="P37" s="246"/>
      <c r="Q37" s="246"/>
      <c r="R37" s="246"/>
      <c r="S37" s="246"/>
      <c r="T37" s="246"/>
      <c r="U37" s="246"/>
      <c r="V37" s="246"/>
      <c r="W37" s="246"/>
      <c r="X37" s="246"/>
      <c r="Y37" s="247"/>
    </row>
    <row r="38" spans="1:25" ht="22.5" customHeight="1" thickBot="1" x14ac:dyDescent="0.2">
      <c r="A38" s="238"/>
      <c r="B38" s="239"/>
      <c r="C38" s="239"/>
      <c r="D38" s="243"/>
      <c r="E38" s="5"/>
      <c r="F38" s="248"/>
      <c r="G38" s="248"/>
      <c r="H38" s="248"/>
      <c r="I38" s="248"/>
      <c r="J38" s="248"/>
      <c r="K38" s="248"/>
      <c r="L38" s="248"/>
      <c r="M38" s="248"/>
      <c r="N38" s="248"/>
      <c r="O38" s="248"/>
      <c r="P38" s="248"/>
      <c r="Q38" s="248"/>
      <c r="R38" s="248"/>
      <c r="S38" s="248"/>
      <c r="T38" s="248"/>
      <c r="U38" s="248"/>
      <c r="V38" s="248"/>
      <c r="W38" s="248"/>
      <c r="X38" s="248"/>
      <c r="Y38" s="249"/>
    </row>
    <row r="39" spans="1:25" ht="27" customHeight="1" x14ac:dyDescent="0.15">
      <c r="A39" s="181" t="s">
        <v>14</v>
      </c>
      <c r="B39" s="184" t="s">
        <v>16</v>
      </c>
      <c r="C39" s="185"/>
      <c r="D39" s="185"/>
      <c r="E39" s="187" t="str">
        <f>基本画面!H23&amp;"　"&amp;基本画面!I23</f>
        <v>　</v>
      </c>
      <c r="F39" s="188"/>
      <c r="G39" s="188"/>
      <c r="H39" s="188"/>
      <c r="I39" s="188"/>
      <c r="J39" s="188"/>
      <c r="K39" s="188"/>
      <c r="L39" s="188"/>
      <c r="M39" s="188"/>
      <c r="N39" s="188"/>
      <c r="O39" s="188"/>
      <c r="P39" s="188"/>
      <c r="Q39" s="188"/>
      <c r="R39" s="188"/>
      <c r="S39" s="188"/>
      <c r="T39" s="188"/>
      <c r="U39" s="188"/>
      <c r="V39" s="188"/>
      <c r="W39" s="188"/>
      <c r="X39" s="188"/>
      <c r="Y39" s="189"/>
    </row>
    <row r="40" spans="1:25" ht="15" customHeight="1" x14ac:dyDescent="0.15">
      <c r="A40" s="182"/>
      <c r="B40" s="190" t="s">
        <v>17</v>
      </c>
      <c r="C40" s="191"/>
      <c r="D40" s="191"/>
      <c r="E40" s="190" t="str">
        <f>IF(基本画面!D23=0,"",基本画面!D23)</f>
        <v/>
      </c>
      <c r="F40" s="191"/>
      <c r="G40" s="191"/>
      <c r="H40" s="191"/>
      <c r="I40" s="191"/>
      <c r="J40" s="191"/>
      <c r="K40" s="191"/>
      <c r="L40" s="191"/>
      <c r="M40" s="191"/>
      <c r="N40" s="191"/>
      <c r="O40" s="191"/>
      <c r="P40" s="191"/>
      <c r="Q40" s="191"/>
      <c r="R40" s="190" t="s">
        <v>12</v>
      </c>
      <c r="S40" s="191"/>
      <c r="T40" s="191"/>
      <c r="U40" s="195"/>
      <c r="V40" s="190" t="s">
        <v>455</v>
      </c>
      <c r="W40" s="191"/>
      <c r="X40" s="191"/>
      <c r="Y40" s="196"/>
    </row>
    <row r="41" spans="1:25" ht="26.25" customHeight="1" thickBot="1" x14ac:dyDescent="0.2">
      <c r="A41" s="183"/>
      <c r="B41" s="203"/>
      <c r="C41" s="204"/>
      <c r="D41" s="204"/>
      <c r="E41" s="192" t="str">
        <f>IF(基本画面!C23=0,"",基本画面!C23)</f>
        <v/>
      </c>
      <c r="F41" s="193"/>
      <c r="G41" s="193"/>
      <c r="H41" s="193"/>
      <c r="I41" s="193"/>
      <c r="J41" s="193"/>
      <c r="K41" s="193"/>
      <c r="L41" s="193"/>
      <c r="M41" s="193"/>
      <c r="N41" s="193"/>
      <c r="O41" s="193"/>
      <c r="P41" s="193"/>
      <c r="Q41" s="194"/>
      <c r="R41" s="197" t="str">
        <f>IF(基本画面!E23=0,"",基本画面!E23)</f>
        <v/>
      </c>
      <c r="S41" s="198"/>
      <c r="T41" s="198"/>
      <c r="U41" s="199"/>
      <c r="V41" s="200" t="s">
        <v>452</v>
      </c>
      <c r="W41" s="201"/>
      <c r="X41" s="201"/>
      <c r="Y41" s="202"/>
    </row>
    <row r="42" spans="1:25" ht="22.5" customHeight="1" x14ac:dyDescent="0.15">
      <c r="A42" s="182" t="s">
        <v>15</v>
      </c>
      <c r="B42" s="226" t="s">
        <v>18</v>
      </c>
      <c r="C42" s="227"/>
      <c r="D42" s="227"/>
      <c r="E42" s="302" t="s">
        <v>22</v>
      </c>
      <c r="F42" s="186"/>
      <c r="G42" s="186"/>
      <c r="H42" s="186"/>
      <c r="I42" s="186"/>
      <c r="J42" s="186"/>
      <c r="K42" s="186"/>
      <c r="L42" s="186"/>
      <c r="M42" s="186"/>
      <c r="N42" s="186"/>
      <c r="O42" s="186"/>
      <c r="P42" s="186"/>
      <c r="Q42" s="186"/>
      <c r="R42" s="186"/>
      <c r="S42" s="186"/>
      <c r="T42" s="186"/>
      <c r="U42" s="303"/>
      <c r="V42" s="227" t="s">
        <v>453</v>
      </c>
      <c r="W42" s="227"/>
      <c r="X42" s="227"/>
      <c r="Y42" s="235"/>
    </row>
    <row r="43" spans="1:25" ht="22.5" customHeight="1" x14ac:dyDescent="0.15">
      <c r="A43" s="182"/>
      <c r="B43" s="226"/>
      <c r="C43" s="227"/>
      <c r="D43" s="227"/>
      <c r="E43" s="302"/>
      <c r="F43" s="186"/>
      <c r="G43" s="186"/>
      <c r="H43" s="186"/>
      <c r="I43" s="186"/>
      <c r="J43" s="186"/>
      <c r="K43" s="186"/>
      <c r="L43" s="186"/>
      <c r="M43" s="186"/>
      <c r="N43" s="186"/>
      <c r="O43" s="186"/>
      <c r="P43" s="186"/>
      <c r="Q43" s="186"/>
      <c r="R43" s="186"/>
      <c r="S43" s="186"/>
      <c r="T43" s="186"/>
      <c r="U43" s="303"/>
      <c r="V43" s="190" t="s">
        <v>454</v>
      </c>
      <c r="W43" s="191"/>
      <c r="X43" s="191"/>
      <c r="Y43" s="196"/>
    </row>
    <row r="44" spans="1:25" ht="22.5" customHeight="1" x14ac:dyDescent="0.15">
      <c r="A44" s="182"/>
      <c r="B44" s="190" t="s">
        <v>447</v>
      </c>
      <c r="C44" s="191"/>
      <c r="D44" s="191"/>
      <c r="E44" s="191"/>
      <c r="F44" s="191"/>
      <c r="G44" s="191"/>
      <c r="H44" s="191"/>
      <c r="I44" s="191"/>
      <c r="J44" s="191"/>
      <c r="K44" s="191"/>
      <c r="L44" s="191"/>
      <c r="M44" s="191"/>
      <c r="N44" s="191"/>
      <c r="O44" s="191"/>
      <c r="P44" s="191"/>
      <c r="Q44" s="191"/>
      <c r="R44" s="191"/>
      <c r="S44" s="190"/>
      <c r="T44" s="191"/>
      <c r="U44" s="195"/>
      <c r="V44" s="190" t="s">
        <v>19</v>
      </c>
      <c r="W44" s="191"/>
      <c r="X44" s="191"/>
      <c r="Y44" s="196"/>
    </row>
    <row r="45" spans="1:25" ht="22.5" customHeight="1" x14ac:dyDescent="0.15">
      <c r="A45" s="182"/>
      <c r="B45" s="220" t="s">
        <v>448</v>
      </c>
      <c r="C45" s="221"/>
      <c r="D45" s="221"/>
      <c r="E45" s="221"/>
      <c r="F45" s="221"/>
      <c r="G45" s="221"/>
      <c r="H45" s="221"/>
      <c r="I45" s="221"/>
      <c r="J45" s="221"/>
      <c r="K45" s="221"/>
      <c r="L45" s="221"/>
      <c r="M45" s="221"/>
      <c r="N45" s="221"/>
      <c r="O45" s="221"/>
      <c r="P45" s="221"/>
      <c r="Q45" s="221"/>
      <c r="R45" s="222"/>
      <c r="S45" s="226"/>
      <c r="T45" s="227"/>
      <c r="U45" s="228"/>
      <c r="V45" s="209" t="str">
        <f>VLOOKUP(V46,基本画面!$G$72:$H$150,2,FALSE)</f>
        <v>050-6861-5751</v>
      </c>
      <c r="W45" s="210"/>
      <c r="X45" s="210"/>
      <c r="Y45" s="211"/>
    </row>
    <row r="46" spans="1:25" ht="22.5" customHeight="1" thickBot="1" x14ac:dyDescent="0.2">
      <c r="A46" s="183"/>
      <c r="B46" s="223"/>
      <c r="C46" s="224"/>
      <c r="D46" s="224"/>
      <c r="E46" s="224"/>
      <c r="F46" s="224"/>
      <c r="G46" s="224"/>
      <c r="H46" s="224"/>
      <c r="I46" s="224"/>
      <c r="J46" s="224"/>
      <c r="K46" s="224"/>
      <c r="L46" s="224"/>
      <c r="M46" s="224"/>
      <c r="N46" s="224"/>
      <c r="O46" s="224"/>
      <c r="P46" s="224"/>
      <c r="Q46" s="224"/>
      <c r="R46" s="225"/>
      <c r="S46" s="203"/>
      <c r="T46" s="204"/>
      <c r="U46" s="229"/>
      <c r="V46" s="212" t="str">
        <f>基本画面!E43</f>
        <v>増田</v>
      </c>
      <c r="W46" s="213"/>
      <c r="X46" s="213"/>
      <c r="Y46" s="214"/>
    </row>
    <row r="47" spans="1:25" ht="22.5" customHeight="1" x14ac:dyDescent="0.15">
      <c r="A47" s="172" t="s">
        <v>550</v>
      </c>
      <c r="B47" s="172"/>
      <c r="C47" s="172"/>
      <c r="D47" s="172"/>
      <c r="E47" s="172"/>
      <c r="F47" s="172"/>
      <c r="G47" s="172"/>
      <c r="H47" s="172"/>
      <c r="I47" s="172"/>
      <c r="J47" s="172"/>
      <c r="K47" s="172"/>
      <c r="L47" s="172"/>
      <c r="M47" s="172"/>
      <c r="N47" s="172"/>
      <c r="O47" s="172"/>
      <c r="P47" s="172"/>
      <c r="Q47" s="172"/>
      <c r="R47" s="172"/>
      <c r="S47" s="172"/>
      <c r="T47" s="172"/>
      <c r="U47" s="172"/>
      <c r="V47" s="171" t="s">
        <v>68</v>
      </c>
      <c r="W47" s="171"/>
      <c r="X47" s="171"/>
      <c r="Y47" s="171"/>
    </row>
    <row r="48" spans="1:25" ht="22.5" customHeight="1" x14ac:dyDescent="0.15">
      <c r="A48" s="173" t="str">
        <f>IFERROR("従たる事務所（返送先）："&amp;VLOOKUP(基本画面!$D$43,基本画面!$N$73:$T$140,3,FALSE),"")</f>
        <v/>
      </c>
      <c r="B48" s="173"/>
      <c r="C48" s="173"/>
      <c r="D48" s="173"/>
      <c r="E48" s="173"/>
      <c r="F48" s="173"/>
      <c r="G48" s="173"/>
      <c r="H48" s="173"/>
      <c r="I48" s="173"/>
      <c r="J48" s="173"/>
      <c r="K48" s="173"/>
      <c r="L48" s="173"/>
      <c r="M48" s="173"/>
      <c r="N48" s="173"/>
      <c r="O48" s="173"/>
      <c r="P48" s="173"/>
      <c r="Q48" s="173"/>
      <c r="R48" s="173"/>
      <c r="S48" s="173"/>
      <c r="T48" s="173"/>
      <c r="U48" s="173"/>
      <c r="V48" s="186">
        <f>基本画面!B9</f>
        <v>0</v>
      </c>
      <c r="W48" s="186"/>
      <c r="X48" s="186"/>
      <c r="Y48" s="186"/>
    </row>
  </sheetData>
  <mergeCells count="90">
    <mergeCell ref="A1:Y2"/>
    <mergeCell ref="A3:Y3"/>
    <mergeCell ref="E4:Y4"/>
    <mergeCell ref="A6:D15"/>
    <mergeCell ref="K12:T12"/>
    <mergeCell ref="F14:G14"/>
    <mergeCell ref="I14:J14"/>
    <mergeCell ref="F9:Y9"/>
    <mergeCell ref="E11:J11"/>
    <mergeCell ref="K11:T11"/>
    <mergeCell ref="U11:Y11"/>
    <mergeCell ref="F13:G13"/>
    <mergeCell ref="I13:J13"/>
    <mergeCell ref="K13:T13"/>
    <mergeCell ref="L17:N17"/>
    <mergeCell ref="P17:S17"/>
    <mergeCell ref="U17:Y17"/>
    <mergeCell ref="A16:Y16"/>
    <mergeCell ref="B17:D17"/>
    <mergeCell ref="F17:J17"/>
    <mergeCell ref="K14:T14"/>
    <mergeCell ref="U13:Y13"/>
    <mergeCell ref="U14:Y14"/>
    <mergeCell ref="F15:G15"/>
    <mergeCell ref="I15:J15"/>
    <mergeCell ref="K15:T15"/>
    <mergeCell ref="S44:U46"/>
    <mergeCell ref="V44:Y44"/>
    <mergeCell ref="B45:R46"/>
    <mergeCell ref="V45:Y45"/>
    <mergeCell ref="V46:Y46"/>
    <mergeCell ref="A25:D35"/>
    <mergeCell ref="E25:Y25"/>
    <mergeCell ref="E28:Y28"/>
    <mergeCell ref="E29:Y29"/>
    <mergeCell ref="E30:Y30"/>
    <mergeCell ref="E32:Y32"/>
    <mergeCell ref="E33:Y33"/>
    <mergeCell ref="E34:H35"/>
    <mergeCell ref="E31:Y31"/>
    <mergeCell ref="I35:Q35"/>
    <mergeCell ref="R35:U35"/>
    <mergeCell ref="V35:Y35"/>
    <mergeCell ref="I34:Q34"/>
    <mergeCell ref="R34:U34"/>
    <mergeCell ref="V34:Y34"/>
    <mergeCell ref="V41:Y41"/>
    <mergeCell ref="A36:D38"/>
    <mergeCell ref="F36:Y36"/>
    <mergeCell ref="F37:Y37"/>
    <mergeCell ref="F38:Y38"/>
    <mergeCell ref="F12:G12"/>
    <mergeCell ref="I12:J12"/>
    <mergeCell ref="A42:A46"/>
    <mergeCell ref="B42:D43"/>
    <mergeCell ref="E42:U43"/>
    <mergeCell ref="B44:R44"/>
    <mergeCell ref="U12:Y12"/>
    <mergeCell ref="A39:A41"/>
    <mergeCell ref="B39:D39"/>
    <mergeCell ref="E39:Y39"/>
    <mergeCell ref="B40:D41"/>
    <mergeCell ref="E40:Q40"/>
    <mergeCell ref="R40:U40"/>
    <mergeCell ref="V40:Y40"/>
    <mergeCell ref="E41:Q41"/>
    <mergeCell ref="R41:U41"/>
    <mergeCell ref="A4:D5"/>
    <mergeCell ref="F6:V6"/>
    <mergeCell ref="F7:V7"/>
    <mergeCell ref="F8:V8"/>
    <mergeCell ref="E10:Y10"/>
    <mergeCell ref="E5:Y5"/>
    <mergeCell ref="W6:Y8"/>
    <mergeCell ref="V47:Y47"/>
    <mergeCell ref="A48:U48"/>
    <mergeCell ref="A47:U47"/>
    <mergeCell ref="U15:Y15"/>
    <mergeCell ref="E27:Y27"/>
    <mergeCell ref="E26:Y26"/>
    <mergeCell ref="B19:Y19"/>
    <mergeCell ref="B20:Y20"/>
    <mergeCell ref="B21:Y21"/>
    <mergeCell ref="B22:Y22"/>
    <mergeCell ref="B23:Y23"/>
    <mergeCell ref="B24:Y24"/>
    <mergeCell ref="A18:Y18"/>
    <mergeCell ref="V48:Y48"/>
    <mergeCell ref="V42:Y42"/>
    <mergeCell ref="V43:Y43"/>
  </mergeCells>
  <phoneticPr fontId="1"/>
  <printOptions horizontalCentered="1"/>
  <pageMargins left="0" right="0" top="0" bottom="0" header="0" footer="0"/>
  <pageSetup paperSize="9" scale="8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5" r:id="rId4" name="Check Box 3">
              <controlPr defaultSize="0" autoFill="0" autoLine="0" autoPict="0">
                <anchor moveWithCells="1">
                  <from>
                    <xdr:col>4</xdr:col>
                    <xdr:colOff>38100</xdr:colOff>
                    <xdr:row>11</xdr:row>
                    <xdr:rowOff>19050</xdr:rowOff>
                  </from>
                  <to>
                    <xdr:col>5</xdr:col>
                    <xdr:colOff>0</xdr:colOff>
                    <xdr:row>11</xdr:row>
                    <xdr:rowOff>266700</xdr:rowOff>
                  </to>
                </anchor>
              </controlPr>
            </control>
          </mc:Choice>
        </mc:AlternateContent>
        <mc:AlternateContent xmlns:mc="http://schemas.openxmlformats.org/markup-compatibility/2006">
          <mc:Choice Requires="x14">
            <control shapeId="3076" r:id="rId5" name="Check Box 4">
              <controlPr defaultSize="0" autoFill="0" autoLine="0" autoPict="0">
                <anchor moveWithCells="1">
                  <from>
                    <xdr:col>4</xdr:col>
                    <xdr:colOff>38100</xdr:colOff>
                    <xdr:row>12</xdr:row>
                    <xdr:rowOff>19050</xdr:rowOff>
                  </from>
                  <to>
                    <xdr:col>5</xdr:col>
                    <xdr:colOff>0</xdr:colOff>
                    <xdr:row>12</xdr:row>
                    <xdr:rowOff>266700</xdr:rowOff>
                  </to>
                </anchor>
              </controlPr>
            </control>
          </mc:Choice>
        </mc:AlternateContent>
        <mc:AlternateContent xmlns:mc="http://schemas.openxmlformats.org/markup-compatibility/2006">
          <mc:Choice Requires="x14">
            <control shapeId="3077" r:id="rId6" name="Check Box 5">
              <controlPr defaultSize="0" autoFill="0" autoLine="0" autoPict="0">
                <anchor moveWithCells="1">
                  <from>
                    <xdr:col>4</xdr:col>
                    <xdr:colOff>38100</xdr:colOff>
                    <xdr:row>13</xdr:row>
                    <xdr:rowOff>19050</xdr:rowOff>
                  </from>
                  <to>
                    <xdr:col>5</xdr:col>
                    <xdr:colOff>0</xdr:colOff>
                    <xdr:row>13</xdr:row>
                    <xdr:rowOff>266700</xdr:rowOff>
                  </to>
                </anchor>
              </controlPr>
            </control>
          </mc:Choice>
        </mc:AlternateContent>
        <mc:AlternateContent xmlns:mc="http://schemas.openxmlformats.org/markup-compatibility/2006">
          <mc:Choice Requires="x14">
            <control shapeId="3079" r:id="rId7" name="Check Box 7">
              <controlPr defaultSize="0" autoFill="0" autoLine="0" autoPict="0">
                <anchor moveWithCells="1">
                  <from>
                    <xdr:col>4</xdr:col>
                    <xdr:colOff>38100</xdr:colOff>
                    <xdr:row>14</xdr:row>
                    <xdr:rowOff>19050</xdr:rowOff>
                  </from>
                  <to>
                    <xdr:col>5</xdr:col>
                    <xdr:colOff>0</xdr:colOff>
                    <xdr:row>14</xdr:row>
                    <xdr:rowOff>266700</xdr:rowOff>
                  </to>
                </anchor>
              </controlPr>
            </control>
          </mc:Choice>
        </mc:AlternateContent>
        <mc:AlternateContent xmlns:mc="http://schemas.openxmlformats.org/markup-compatibility/2006">
          <mc:Choice Requires="x14">
            <control shapeId="3083" r:id="rId8" name="Check Box 11">
              <controlPr defaultSize="0" autoFill="0" autoLine="0" autoPict="0">
                <anchor moveWithCells="1">
                  <from>
                    <xdr:col>4</xdr:col>
                    <xdr:colOff>38100</xdr:colOff>
                    <xdr:row>35</xdr:row>
                    <xdr:rowOff>19050</xdr:rowOff>
                  </from>
                  <to>
                    <xdr:col>5</xdr:col>
                    <xdr:colOff>0</xdr:colOff>
                    <xdr:row>35</xdr:row>
                    <xdr:rowOff>266700</xdr:rowOff>
                  </to>
                </anchor>
              </controlPr>
            </control>
          </mc:Choice>
        </mc:AlternateContent>
        <mc:AlternateContent xmlns:mc="http://schemas.openxmlformats.org/markup-compatibility/2006">
          <mc:Choice Requires="x14">
            <control shapeId="3084" r:id="rId9" name="Check Box 12">
              <controlPr defaultSize="0" autoFill="0" autoLine="0" autoPict="0">
                <anchor moveWithCells="1">
                  <from>
                    <xdr:col>4</xdr:col>
                    <xdr:colOff>38100</xdr:colOff>
                    <xdr:row>36</xdr:row>
                    <xdr:rowOff>19050</xdr:rowOff>
                  </from>
                  <to>
                    <xdr:col>5</xdr:col>
                    <xdr:colOff>0</xdr:colOff>
                    <xdr:row>36</xdr:row>
                    <xdr:rowOff>266700</xdr:rowOff>
                  </to>
                </anchor>
              </controlPr>
            </control>
          </mc:Choice>
        </mc:AlternateContent>
        <mc:AlternateContent xmlns:mc="http://schemas.openxmlformats.org/markup-compatibility/2006">
          <mc:Choice Requires="x14">
            <control shapeId="3086" r:id="rId10" name="Check Box 14">
              <controlPr defaultSize="0" autoFill="0" autoLine="0" autoPict="0">
                <anchor moveWithCells="1">
                  <from>
                    <xdr:col>4</xdr:col>
                    <xdr:colOff>38100</xdr:colOff>
                    <xdr:row>37</xdr:row>
                    <xdr:rowOff>19050</xdr:rowOff>
                  </from>
                  <to>
                    <xdr:col>5</xdr:col>
                    <xdr:colOff>0</xdr:colOff>
                    <xdr:row>37</xdr:row>
                    <xdr:rowOff>266700</xdr:rowOff>
                  </to>
                </anchor>
              </controlPr>
            </control>
          </mc:Choice>
        </mc:AlternateContent>
        <mc:AlternateContent xmlns:mc="http://schemas.openxmlformats.org/markup-compatibility/2006">
          <mc:Choice Requires="x14">
            <control shapeId="3087" r:id="rId11" name="Check Box 15">
              <controlPr defaultSize="0" autoFill="0" autoLine="0" autoPict="0">
                <anchor moveWithCells="1">
                  <from>
                    <xdr:col>4</xdr:col>
                    <xdr:colOff>38100</xdr:colOff>
                    <xdr:row>5</xdr:row>
                    <xdr:rowOff>19050</xdr:rowOff>
                  </from>
                  <to>
                    <xdr:col>5</xdr:col>
                    <xdr:colOff>0</xdr:colOff>
                    <xdr:row>5</xdr:row>
                    <xdr:rowOff>266700</xdr:rowOff>
                  </to>
                </anchor>
              </controlPr>
            </control>
          </mc:Choice>
        </mc:AlternateContent>
        <mc:AlternateContent xmlns:mc="http://schemas.openxmlformats.org/markup-compatibility/2006">
          <mc:Choice Requires="x14">
            <control shapeId="3090" r:id="rId12" name="Check Box 18">
              <controlPr defaultSize="0" autoFill="0" autoLine="0" autoPict="0">
                <anchor moveWithCells="1">
                  <from>
                    <xdr:col>4</xdr:col>
                    <xdr:colOff>38100</xdr:colOff>
                    <xdr:row>6</xdr:row>
                    <xdr:rowOff>19050</xdr:rowOff>
                  </from>
                  <to>
                    <xdr:col>5</xdr:col>
                    <xdr:colOff>0</xdr:colOff>
                    <xdr:row>6</xdr:row>
                    <xdr:rowOff>266700</xdr:rowOff>
                  </to>
                </anchor>
              </controlPr>
            </control>
          </mc:Choice>
        </mc:AlternateContent>
        <mc:AlternateContent xmlns:mc="http://schemas.openxmlformats.org/markup-compatibility/2006">
          <mc:Choice Requires="x14">
            <control shapeId="3092" r:id="rId13" name="Check Box 20">
              <controlPr defaultSize="0" autoFill="0" autoLine="0" autoPict="0">
                <anchor moveWithCells="1">
                  <from>
                    <xdr:col>4</xdr:col>
                    <xdr:colOff>38100</xdr:colOff>
                    <xdr:row>7</xdr:row>
                    <xdr:rowOff>19050</xdr:rowOff>
                  </from>
                  <to>
                    <xdr:col>5</xdr:col>
                    <xdr:colOff>0</xdr:colOff>
                    <xdr:row>7</xdr:row>
                    <xdr:rowOff>266700</xdr:rowOff>
                  </to>
                </anchor>
              </controlPr>
            </control>
          </mc:Choice>
        </mc:AlternateContent>
        <mc:AlternateContent xmlns:mc="http://schemas.openxmlformats.org/markup-compatibility/2006">
          <mc:Choice Requires="x14">
            <control shapeId="3094" r:id="rId14" name="Check Box 22">
              <controlPr defaultSize="0" autoFill="0" autoLine="0" autoPict="0">
                <anchor moveWithCells="1">
                  <from>
                    <xdr:col>4</xdr:col>
                    <xdr:colOff>38100</xdr:colOff>
                    <xdr:row>8</xdr:row>
                    <xdr:rowOff>19050</xdr:rowOff>
                  </from>
                  <to>
                    <xdr:col>5</xdr:col>
                    <xdr:colOff>0</xdr:colOff>
                    <xdr:row>8</xdr:row>
                    <xdr:rowOff>266700</xdr:rowOff>
                  </to>
                </anchor>
              </controlPr>
            </control>
          </mc:Choice>
        </mc:AlternateContent>
        <mc:AlternateContent xmlns:mc="http://schemas.openxmlformats.org/markup-compatibility/2006">
          <mc:Choice Requires="x14">
            <control shapeId="3096" r:id="rId15" name="Check Box 24">
              <controlPr defaultSize="0" autoFill="0" autoLine="0" autoPict="0">
                <anchor moveWithCells="1">
                  <from>
                    <xdr:col>7</xdr:col>
                    <xdr:colOff>38100</xdr:colOff>
                    <xdr:row>11</xdr:row>
                    <xdr:rowOff>19050</xdr:rowOff>
                  </from>
                  <to>
                    <xdr:col>8</xdr:col>
                    <xdr:colOff>0</xdr:colOff>
                    <xdr:row>11</xdr:row>
                    <xdr:rowOff>266700</xdr:rowOff>
                  </to>
                </anchor>
              </controlPr>
            </control>
          </mc:Choice>
        </mc:AlternateContent>
        <mc:AlternateContent xmlns:mc="http://schemas.openxmlformats.org/markup-compatibility/2006">
          <mc:Choice Requires="x14">
            <control shapeId="3097" r:id="rId16" name="Check Box 25">
              <controlPr defaultSize="0" autoFill="0" autoLine="0" autoPict="0">
                <anchor moveWithCells="1">
                  <from>
                    <xdr:col>7</xdr:col>
                    <xdr:colOff>38100</xdr:colOff>
                    <xdr:row>12</xdr:row>
                    <xdr:rowOff>19050</xdr:rowOff>
                  </from>
                  <to>
                    <xdr:col>8</xdr:col>
                    <xdr:colOff>0</xdr:colOff>
                    <xdr:row>12</xdr:row>
                    <xdr:rowOff>266700</xdr:rowOff>
                  </to>
                </anchor>
              </controlPr>
            </control>
          </mc:Choice>
        </mc:AlternateContent>
        <mc:AlternateContent xmlns:mc="http://schemas.openxmlformats.org/markup-compatibility/2006">
          <mc:Choice Requires="x14">
            <control shapeId="3098" r:id="rId17" name="Check Box 26">
              <controlPr defaultSize="0" autoFill="0" autoLine="0" autoPict="0">
                <anchor moveWithCells="1">
                  <from>
                    <xdr:col>7</xdr:col>
                    <xdr:colOff>38100</xdr:colOff>
                    <xdr:row>13</xdr:row>
                    <xdr:rowOff>19050</xdr:rowOff>
                  </from>
                  <to>
                    <xdr:col>8</xdr:col>
                    <xdr:colOff>0</xdr:colOff>
                    <xdr:row>13</xdr:row>
                    <xdr:rowOff>266700</xdr:rowOff>
                  </to>
                </anchor>
              </controlPr>
            </control>
          </mc:Choice>
        </mc:AlternateContent>
        <mc:AlternateContent xmlns:mc="http://schemas.openxmlformats.org/markup-compatibility/2006">
          <mc:Choice Requires="x14">
            <control shapeId="3100" r:id="rId18" name="Check Box 28">
              <controlPr defaultSize="0" autoFill="0" autoLine="0" autoPict="0">
                <anchor moveWithCells="1">
                  <from>
                    <xdr:col>7</xdr:col>
                    <xdr:colOff>38100</xdr:colOff>
                    <xdr:row>14</xdr:row>
                    <xdr:rowOff>19050</xdr:rowOff>
                  </from>
                  <to>
                    <xdr:col>8</xdr:col>
                    <xdr:colOff>0</xdr:colOff>
                    <xdr:row>14</xdr:row>
                    <xdr:rowOff>266700</xdr:rowOff>
                  </to>
                </anchor>
              </controlPr>
            </control>
          </mc:Choice>
        </mc:AlternateContent>
        <mc:AlternateContent xmlns:mc="http://schemas.openxmlformats.org/markup-compatibility/2006">
          <mc:Choice Requires="x14">
            <control shapeId="3105" r:id="rId19" name="Check Box 33">
              <controlPr defaultSize="0" autoFill="0" autoLine="0" autoPict="0">
                <anchor moveWithCells="1">
                  <from>
                    <xdr:col>0</xdr:col>
                    <xdr:colOff>38100</xdr:colOff>
                    <xdr:row>16</xdr:row>
                    <xdr:rowOff>19050</xdr:rowOff>
                  </from>
                  <to>
                    <xdr:col>1</xdr:col>
                    <xdr:colOff>0</xdr:colOff>
                    <xdr:row>16</xdr:row>
                    <xdr:rowOff>266700</xdr:rowOff>
                  </to>
                </anchor>
              </controlPr>
            </control>
          </mc:Choice>
        </mc:AlternateContent>
        <mc:AlternateContent xmlns:mc="http://schemas.openxmlformats.org/markup-compatibility/2006">
          <mc:Choice Requires="x14">
            <control shapeId="3106" r:id="rId20" name="Check Box 34">
              <controlPr defaultSize="0" autoFill="0" autoLine="0" autoPict="0">
                <anchor moveWithCells="1">
                  <from>
                    <xdr:col>4</xdr:col>
                    <xdr:colOff>38100</xdr:colOff>
                    <xdr:row>16</xdr:row>
                    <xdr:rowOff>19050</xdr:rowOff>
                  </from>
                  <to>
                    <xdr:col>5</xdr:col>
                    <xdr:colOff>0</xdr:colOff>
                    <xdr:row>16</xdr:row>
                    <xdr:rowOff>266700</xdr:rowOff>
                  </to>
                </anchor>
              </controlPr>
            </control>
          </mc:Choice>
        </mc:AlternateContent>
        <mc:AlternateContent xmlns:mc="http://schemas.openxmlformats.org/markup-compatibility/2006">
          <mc:Choice Requires="x14">
            <control shapeId="3107" r:id="rId21" name="Check Box 35">
              <controlPr defaultSize="0" autoFill="0" autoLine="0" autoPict="0">
                <anchor moveWithCells="1">
                  <from>
                    <xdr:col>10</xdr:col>
                    <xdr:colOff>38100</xdr:colOff>
                    <xdr:row>16</xdr:row>
                    <xdr:rowOff>19050</xdr:rowOff>
                  </from>
                  <to>
                    <xdr:col>11</xdr:col>
                    <xdr:colOff>0</xdr:colOff>
                    <xdr:row>16</xdr:row>
                    <xdr:rowOff>266700</xdr:rowOff>
                  </to>
                </anchor>
              </controlPr>
            </control>
          </mc:Choice>
        </mc:AlternateContent>
        <mc:AlternateContent xmlns:mc="http://schemas.openxmlformats.org/markup-compatibility/2006">
          <mc:Choice Requires="x14">
            <control shapeId="3108" r:id="rId22" name="Check Box 36">
              <controlPr defaultSize="0" autoFill="0" autoLine="0" autoPict="0">
                <anchor moveWithCells="1">
                  <from>
                    <xdr:col>14</xdr:col>
                    <xdr:colOff>38100</xdr:colOff>
                    <xdr:row>16</xdr:row>
                    <xdr:rowOff>19050</xdr:rowOff>
                  </from>
                  <to>
                    <xdr:col>15</xdr:col>
                    <xdr:colOff>0</xdr:colOff>
                    <xdr:row>16</xdr:row>
                    <xdr:rowOff>266700</xdr:rowOff>
                  </to>
                </anchor>
              </controlPr>
            </control>
          </mc:Choice>
        </mc:AlternateContent>
        <mc:AlternateContent xmlns:mc="http://schemas.openxmlformats.org/markup-compatibility/2006">
          <mc:Choice Requires="x14">
            <control shapeId="3109" r:id="rId23" name="Check Box 37">
              <controlPr defaultSize="0" autoFill="0" autoLine="0" autoPict="0">
                <anchor moveWithCells="1">
                  <from>
                    <xdr:col>19</xdr:col>
                    <xdr:colOff>38100</xdr:colOff>
                    <xdr:row>16</xdr:row>
                    <xdr:rowOff>19050</xdr:rowOff>
                  </from>
                  <to>
                    <xdr:col>20</xdr:col>
                    <xdr:colOff>0</xdr:colOff>
                    <xdr:row>16</xdr:row>
                    <xdr:rowOff>266700</xdr:rowOff>
                  </to>
                </anchor>
              </controlPr>
            </control>
          </mc:Choice>
        </mc:AlternateContent>
        <mc:AlternateContent xmlns:mc="http://schemas.openxmlformats.org/markup-compatibility/2006">
          <mc:Choice Requires="x14">
            <control shapeId="3110" r:id="rId24" name="Check Box 38">
              <controlPr defaultSize="0" autoFill="0" autoLine="0" autoPict="0">
                <anchor moveWithCells="1">
                  <from>
                    <xdr:col>0</xdr:col>
                    <xdr:colOff>38100</xdr:colOff>
                    <xdr:row>18</xdr:row>
                    <xdr:rowOff>19050</xdr:rowOff>
                  </from>
                  <to>
                    <xdr:col>1</xdr:col>
                    <xdr:colOff>0</xdr:colOff>
                    <xdr:row>18</xdr:row>
                    <xdr:rowOff>266700</xdr:rowOff>
                  </to>
                </anchor>
              </controlPr>
            </control>
          </mc:Choice>
        </mc:AlternateContent>
        <mc:AlternateContent xmlns:mc="http://schemas.openxmlformats.org/markup-compatibility/2006">
          <mc:Choice Requires="x14">
            <control shapeId="3111" r:id="rId25" name="Check Box 39">
              <controlPr defaultSize="0" autoFill="0" autoLine="0" autoPict="0">
                <anchor moveWithCells="1">
                  <from>
                    <xdr:col>0</xdr:col>
                    <xdr:colOff>38100</xdr:colOff>
                    <xdr:row>21</xdr:row>
                    <xdr:rowOff>19050</xdr:rowOff>
                  </from>
                  <to>
                    <xdr:col>1</xdr:col>
                    <xdr:colOff>0</xdr:colOff>
                    <xdr:row>21</xdr:row>
                    <xdr:rowOff>266700</xdr:rowOff>
                  </to>
                </anchor>
              </controlPr>
            </control>
          </mc:Choice>
        </mc:AlternateContent>
        <mc:AlternateContent xmlns:mc="http://schemas.openxmlformats.org/markup-compatibility/2006">
          <mc:Choice Requires="x14">
            <control shapeId="3112" r:id="rId26" name="Button 40">
              <controlPr defaultSize="0" print="0" autoFill="0" autoPict="0" macro="[1]!名寄帳申請書PDF保存">
                <anchor moveWithCells="1" sizeWithCells="1">
                  <from>
                    <xdr:col>28</xdr:col>
                    <xdr:colOff>247650</xdr:colOff>
                    <xdr:row>4</xdr:row>
                    <xdr:rowOff>38100</xdr:rowOff>
                  </from>
                  <to>
                    <xdr:col>32</xdr:col>
                    <xdr:colOff>190500</xdr:colOff>
                    <xdr:row>5</xdr:row>
                    <xdr:rowOff>66675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22EF2-6565-484A-A490-9D48A27FA443}">
  <sheetPr codeName="Sheet15">
    <tabColor rgb="FFFFC000"/>
  </sheetPr>
  <dimension ref="A1:CA422"/>
  <sheetViews>
    <sheetView view="pageBreakPreview" workbookViewId="0">
      <selection sqref="A1:G2"/>
    </sheetView>
  </sheetViews>
  <sheetFormatPr defaultRowHeight="18.75" x14ac:dyDescent="0.15"/>
  <cols>
    <col min="1" max="49" width="2" style="20" customWidth="1"/>
    <col min="50" max="79" width="2.5" style="20" customWidth="1"/>
    <col min="80" max="109" width="2.5" style="19" customWidth="1"/>
    <col min="110" max="16384" width="9" style="19"/>
  </cols>
  <sheetData>
    <row r="1" spans="1:50" ht="13.5" customHeight="1" x14ac:dyDescent="0.15">
      <c r="A1" s="343" t="s">
        <v>66</v>
      </c>
      <c r="B1" s="344"/>
      <c r="C1" s="344"/>
      <c r="D1" s="344"/>
      <c r="E1" s="344"/>
      <c r="F1" s="344"/>
      <c r="G1" s="345"/>
      <c r="H1" s="33"/>
      <c r="I1" s="352" t="s">
        <v>65</v>
      </c>
      <c r="J1" s="353"/>
      <c r="K1" s="353"/>
      <c r="L1" s="353"/>
      <c r="M1" s="354"/>
      <c r="N1" s="352" t="s">
        <v>64</v>
      </c>
      <c r="O1" s="353"/>
      <c r="P1" s="353"/>
      <c r="Q1" s="353"/>
      <c r="R1" s="353"/>
      <c r="S1" s="353"/>
      <c r="T1" s="353"/>
      <c r="U1" s="353"/>
      <c r="V1" s="354"/>
      <c r="W1" s="349" t="s">
        <v>460</v>
      </c>
      <c r="X1" s="350"/>
      <c r="Y1" s="350"/>
      <c r="Z1" s="350"/>
      <c r="AA1" s="350"/>
      <c r="AB1" s="350"/>
      <c r="AC1" s="350"/>
      <c r="AD1" s="350"/>
      <c r="AE1" s="350"/>
      <c r="AF1" s="351"/>
      <c r="AG1" s="349" t="s">
        <v>63</v>
      </c>
      <c r="AH1" s="350"/>
      <c r="AI1" s="350"/>
      <c r="AJ1" s="350"/>
      <c r="AK1" s="350"/>
      <c r="AL1" s="351"/>
      <c r="AM1" s="349" t="s">
        <v>62</v>
      </c>
      <c r="AN1" s="350"/>
      <c r="AO1" s="350"/>
      <c r="AP1" s="351"/>
      <c r="AQ1" s="34"/>
      <c r="AR1" s="25"/>
      <c r="AS1" s="25"/>
      <c r="AT1" s="25"/>
      <c r="AU1" s="25"/>
      <c r="AV1" s="25"/>
      <c r="AW1" s="25"/>
      <c r="AX1" s="24"/>
    </row>
    <row r="2" spans="1:50" ht="13.5" customHeight="1" thickBot="1" x14ac:dyDescent="0.2">
      <c r="A2" s="346"/>
      <c r="B2" s="347"/>
      <c r="C2" s="347"/>
      <c r="D2" s="347"/>
      <c r="E2" s="347"/>
      <c r="F2" s="347"/>
      <c r="G2" s="348"/>
      <c r="H2" s="33"/>
      <c r="I2" s="356">
        <f>基本画面!B9</f>
        <v>0</v>
      </c>
      <c r="J2" s="357"/>
      <c r="K2" s="357"/>
      <c r="L2" s="357"/>
      <c r="M2" s="358"/>
      <c r="N2" s="359">
        <f>基本画面!C23</f>
        <v>0</v>
      </c>
      <c r="O2" s="360"/>
      <c r="P2" s="360"/>
      <c r="Q2" s="360"/>
      <c r="R2" s="360"/>
      <c r="S2" s="360"/>
      <c r="T2" s="360"/>
      <c r="U2" s="360"/>
      <c r="V2" s="361"/>
      <c r="W2" s="359">
        <f>基本画面!C23</f>
        <v>0</v>
      </c>
      <c r="X2" s="360"/>
      <c r="Y2" s="360"/>
      <c r="Z2" s="360"/>
      <c r="AA2" s="360"/>
      <c r="AB2" s="360"/>
      <c r="AC2" s="360"/>
      <c r="AD2" s="360"/>
      <c r="AE2" s="360"/>
      <c r="AF2" s="361"/>
      <c r="AG2" s="359" t="str">
        <f>基本画面!B11</f>
        <v>遺言作成サポート</v>
      </c>
      <c r="AH2" s="360"/>
      <c r="AI2" s="360"/>
      <c r="AJ2" s="360"/>
      <c r="AK2" s="360"/>
      <c r="AL2" s="361"/>
      <c r="AM2" s="359" t="str">
        <f>基本画面!B13&amp;"・"&amp;基本画面!D13</f>
        <v>・</v>
      </c>
      <c r="AN2" s="360"/>
      <c r="AO2" s="360"/>
      <c r="AP2" s="361"/>
      <c r="AQ2" s="34"/>
      <c r="AR2" s="25"/>
      <c r="AS2" s="25"/>
      <c r="AT2" s="25"/>
      <c r="AU2" s="25"/>
      <c r="AV2" s="25"/>
      <c r="AW2" s="25"/>
      <c r="AX2" s="24"/>
    </row>
    <row r="3" spans="1:50" ht="13.5" customHeight="1" thickTop="1" x14ac:dyDescent="0.15">
      <c r="A3" s="29"/>
      <c r="B3" s="29"/>
      <c r="C3" s="29"/>
      <c r="D3" s="29"/>
      <c r="E3" s="29"/>
      <c r="F3" s="29"/>
      <c r="G3" s="29"/>
      <c r="H3" s="33"/>
      <c r="I3" s="27"/>
      <c r="J3" s="27"/>
      <c r="K3" s="27"/>
      <c r="L3" s="27"/>
      <c r="M3" s="27"/>
      <c r="N3" s="32"/>
      <c r="O3" s="32"/>
      <c r="P3" s="32"/>
      <c r="Q3" s="32"/>
      <c r="R3" s="32"/>
      <c r="S3" s="32"/>
      <c r="T3" s="32"/>
      <c r="U3" s="32"/>
      <c r="V3" s="32"/>
      <c r="W3" s="31"/>
      <c r="X3" s="31"/>
      <c r="Y3" s="31"/>
      <c r="Z3" s="31"/>
      <c r="AA3" s="31"/>
      <c r="AB3" s="31"/>
      <c r="AC3" s="31"/>
      <c r="AD3" s="31"/>
      <c r="AE3" s="31"/>
      <c r="AF3" s="31"/>
      <c r="AG3" s="31"/>
      <c r="AH3" s="31"/>
      <c r="AI3" s="31"/>
      <c r="AJ3" s="31"/>
      <c r="AK3" s="31"/>
      <c r="AL3" s="31"/>
      <c r="AM3" s="31"/>
      <c r="AN3" s="31"/>
      <c r="AO3" s="31"/>
      <c r="AP3" s="31"/>
      <c r="AQ3" s="25"/>
      <c r="AR3" s="25"/>
      <c r="AS3" s="25"/>
      <c r="AT3" s="25"/>
      <c r="AU3" s="25"/>
      <c r="AV3" s="25"/>
      <c r="AW3" s="25"/>
      <c r="AX3" s="24"/>
    </row>
    <row r="4" spans="1:50" ht="13.5" customHeight="1" x14ac:dyDescent="0.15">
      <c r="A4" s="30"/>
      <c r="B4" s="30"/>
      <c r="C4" s="29"/>
      <c r="D4" s="29"/>
      <c r="E4" s="29"/>
      <c r="F4" s="29"/>
      <c r="G4" s="29"/>
      <c r="H4" s="29"/>
      <c r="I4" s="27"/>
      <c r="J4" s="27"/>
      <c r="K4" s="27"/>
      <c r="L4" s="27"/>
      <c r="M4" s="27"/>
      <c r="N4" s="27"/>
      <c r="O4" s="27"/>
      <c r="P4" s="27"/>
      <c r="Q4" s="27"/>
      <c r="R4" s="27"/>
      <c r="S4" s="27"/>
      <c r="T4" s="27"/>
      <c r="U4" s="27"/>
      <c r="V4" s="28"/>
      <c r="W4" s="28"/>
      <c r="X4" s="27"/>
      <c r="Y4" s="26"/>
      <c r="Z4" s="26"/>
      <c r="AA4" s="26"/>
      <c r="AB4" s="26"/>
      <c r="AC4" s="26"/>
      <c r="AD4" s="26"/>
      <c r="AE4" s="26"/>
      <c r="AF4" s="26"/>
      <c r="AG4" s="26"/>
      <c r="AH4" s="26"/>
      <c r="AI4" s="26"/>
      <c r="AJ4" s="26"/>
      <c r="AK4" s="26"/>
      <c r="AL4" s="26"/>
      <c r="AM4" s="26"/>
      <c r="AN4" s="26"/>
      <c r="AO4" s="26"/>
      <c r="AP4" s="26"/>
      <c r="AQ4" s="25"/>
      <c r="AR4" s="25"/>
      <c r="AS4" s="25"/>
      <c r="AT4" s="25"/>
      <c r="AU4" s="25"/>
      <c r="AV4" s="25"/>
      <c r="AW4" s="25"/>
      <c r="AX4" s="24"/>
    </row>
    <row r="5" spans="1:50" ht="13.5" customHeight="1" x14ac:dyDescent="0.15">
      <c r="A5" s="362" t="s">
        <v>61</v>
      </c>
      <c r="B5" s="362"/>
      <c r="C5" s="362"/>
      <c r="D5" s="362"/>
      <c r="E5" s="362"/>
      <c r="F5" s="362"/>
      <c r="G5" s="362"/>
      <c r="H5" s="362"/>
      <c r="I5" s="362"/>
      <c r="J5" s="362"/>
      <c r="K5" s="362"/>
      <c r="L5" s="362"/>
      <c r="M5" s="362"/>
      <c r="N5" s="362"/>
      <c r="O5" s="362"/>
      <c r="P5" s="362"/>
      <c r="Q5" s="362"/>
      <c r="R5" s="362"/>
      <c r="S5" s="362"/>
      <c r="T5" s="362"/>
      <c r="U5" s="362"/>
      <c r="V5" s="362" t="s">
        <v>60</v>
      </c>
      <c r="W5" s="362"/>
      <c r="X5" s="362"/>
      <c r="Y5" s="362"/>
      <c r="Z5" s="362"/>
      <c r="AA5" s="362"/>
      <c r="AB5" s="362"/>
      <c r="AC5" s="362"/>
      <c r="AD5" s="362"/>
      <c r="AE5" s="362"/>
      <c r="AF5" s="362"/>
      <c r="AG5" s="362"/>
      <c r="AH5" s="362"/>
      <c r="AI5" s="362"/>
      <c r="AJ5" s="362"/>
      <c r="AK5" s="362"/>
      <c r="AL5" s="362"/>
      <c r="AM5" s="362"/>
      <c r="AN5" s="362"/>
      <c r="AO5" s="362"/>
      <c r="AP5" s="362"/>
      <c r="AQ5" s="25"/>
      <c r="AR5" s="25"/>
      <c r="AS5" s="25"/>
      <c r="AT5" s="25"/>
      <c r="AU5" s="25"/>
      <c r="AV5" s="25"/>
      <c r="AW5" s="25"/>
      <c r="AX5" s="24"/>
    </row>
    <row r="6" spans="1:50" ht="13.5" customHeight="1" x14ac:dyDescent="0.15">
      <c r="A6" s="355"/>
      <c r="B6" s="355"/>
      <c r="C6" s="355"/>
      <c r="D6" s="355"/>
      <c r="E6" s="355"/>
      <c r="F6" s="355"/>
      <c r="G6" s="355"/>
      <c r="H6" s="355"/>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25"/>
      <c r="AR6" s="25"/>
      <c r="AS6" s="25"/>
      <c r="AT6" s="25"/>
      <c r="AU6" s="25"/>
      <c r="AV6" s="25"/>
      <c r="AW6" s="25"/>
      <c r="AX6" s="24"/>
    </row>
    <row r="7" spans="1:50" s="20" customFormat="1" ht="13.5" customHeight="1" x14ac:dyDescent="0.15">
      <c r="A7" s="355"/>
      <c r="B7" s="355"/>
      <c r="C7" s="355"/>
      <c r="D7" s="355"/>
      <c r="E7" s="355"/>
      <c r="F7" s="355"/>
      <c r="G7" s="355"/>
      <c r="H7" s="355"/>
      <c r="I7" s="355"/>
      <c r="J7" s="355"/>
      <c r="K7" s="355"/>
      <c r="L7" s="355"/>
      <c r="M7" s="355"/>
      <c r="N7" s="355"/>
      <c r="O7" s="355"/>
      <c r="P7" s="355"/>
      <c r="Q7" s="355"/>
      <c r="R7" s="355"/>
      <c r="S7" s="355"/>
      <c r="T7" s="355"/>
      <c r="U7" s="355"/>
      <c r="V7" s="355"/>
      <c r="W7" s="355"/>
      <c r="X7" s="355"/>
      <c r="Y7" s="355"/>
      <c r="Z7" s="355"/>
      <c r="AA7" s="355"/>
      <c r="AB7" s="355"/>
      <c r="AC7" s="355"/>
      <c r="AD7" s="355"/>
      <c r="AE7" s="355"/>
      <c r="AF7" s="355"/>
      <c r="AG7" s="355"/>
      <c r="AH7" s="355"/>
      <c r="AI7" s="355"/>
      <c r="AJ7" s="355"/>
      <c r="AK7" s="355"/>
      <c r="AL7" s="355"/>
      <c r="AM7" s="355"/>
      <c r="AN7" s="355"/>
      <c r="AO7" s="355"/>
      <c r="AP7" s="355"/>
      <c r="AQ7" s="25"/>
      <c r="AR7" s="25"/>
      <c r="AS7" s="25"/>
      <c r="AT7" s="25"/>
      <c r="AU7" s="25"/>
      <c r="AV7" s="25"/>
      <c r="AW7" s="25"/>
      <c r="AX7" s="24"/>
    </row>
    <row r="8" spans="1:50" s="20" customFormat="1" ht="13.5" customHeight="1" x14ac:dyDescent="0.15">
      <c r="A8" s="355"/>
      <c r="B8" s="355"/>
      <c r="C8" s="355"/>
      <c r="D8" s="355"/>
      <c r="E8" s="355"/>
      <c r="F8" s="355"/>
      <c r="G8" s="355"/>
      <c r="H8" s="355"/>
      <c r="I8" s="355"/>
      <c r="J8" s="355"/>
      <c r="K8" s="355"/>
      <c r="L8" s="355"/>
      <c r="M8" s="355"/>
      <c r="N8" s="355"/>
      <c r="O8" s="355"/>
      <c r="P8" s="355"/>
      <c r="Q8" s="355"/>
      <c r="R8" s="355"/>
      <c r="S8" s="355"/>
      <c r="T8" s="355"/>
      <c r="U8" s="355"/>
      <c r="V8" s="355"/>
      <c r="W8" s="355"/>
      <c r="X8" s="355"/>
      <c r="Y8" s="355"/>
      <c r="Z8" s="355"/>
      <c r="AA8" s="355"/>
      <c r="AB8" s="355"/>
      <c r="AC8" s="355"/>
      <c r="AD8" s="355"/>
      <c r="AE8" s="355"/>
      <c r="AF8" s="355"/>
      <c r="AG8" s="355"/>
      <c r="AH8" s="355"/>
      <c r="AI8" s="355"/>
      <c r="AJ8" s="355"/>
      <c r="AK8" s="355"/>
      <c r="AL8" s="355"/>
      <c r="AM8" s="355"/>
      <c r="AN8" s="355"/>
      <c r="AO8" s="355"/>
      <c r="AP8" s="355"/>
      <c r="AQ8" s="25"/>
      <c r="AR8" s="25"/>
      <c r="AS8" s="25"/>
      <c r="AT8" s="25"/>
      <c r="AU8" s="25"/>
      <c r="AV8" s="25"/>
      <c r="AW8" s="25"/>
      <c r="AX8" s="24"/>
    </row>
    <row r="9" spans="1:50" s="20" customFormat="1" ht="13.5" customHeight="1" x14ac:dyDescent="0.15">
      <c r="A9" s="355"/>
      <c r="B9" s="355"/>
      <c r="C9" s="355"/>
      <c r="D9" s="355"/>
      <c r="E9" s="355"/>
      <c r="F9" s="355"/>
      <c r="G9" s="355"/>
      <c r="H9" s="355"/>
      <c r="I9" s="355"/>
      <c r="J9" s="355"/>
      <c r="K9" s="355"/>
      <c r="L9" s="355"/>
      <c r="M9" s="355"/>
      <c r="N9" s="355"/>
      <c r="O9" s="355"/>
      <c r="P9" s="355"/>
      <c r="Q9" s="355"/>
      <c r="R9" s="355"/>
      <c r="S9" s="355"/>
      <c r="T9" s="355"/>
      <c r="U9" s="355"/>
      <c r="V9" s="355"/>
      <c r="W9" s="355"/>
      <c r="X9" s="355"/>
      <c r="Y9" s="355"/>
      <c r="Z9" s="355"/>
      <c r="AA9" s="355"/>
      <c r="AB9" s="355"/>
      <c r="AC9" s="355"/>
      <c r="AD9" s="355"/>
      <c r="AE9" s="355"/>
      <c r="AF9" s="355"/>
      <c r="AG9" s="355"/>
      <c r="AH9" s="355"/>
      <c r="AI9" s="355"/>
      <c r="AJ9" s="355"/>
      <c r="AK9" s="355"/>
      <c r="AL9" s="355"/>
      <c r="AM9" s="355"/>
      <c r="AN9" s="355"/>
      <c r="AO9" s="355"/>
      <c r="AP9" s="355"/>
      <c r="AQ9" s="25"/>
      <c r="AR9" s="25"/>
      <c r="AS9" s="25"/>
      <c r="AT9" s="25"/>
      <c r="AU9" s="25"/>
      <c r="AV9" s="25"/>
      <c r="AW9" s="25"/>
      <c r="AX9" s="24"/>
    </row>
    <row r="10" spans="1:50" s="20" customFormat="1" ht="13.5" customHeight="1" x14ac:dyDescent="0.15">
      <c r="A10" s="355"/>
      <c r="B10" s="355"/>
      <c r="C10" s="355"/>
      <c r="D10" s="355"/>
      <c r="E10" s="355"/>
      <c r="F10" s="355"/>
      <c r="G10" s="355"/>
      <c r="H10" s="355"/>
      <c r="I10" s="355"/>
      <c r="J10" s="355"/>
      <c r="K10" s="355"/>
      <c r="L10" s="355"/>
      <c r="M10" s="355"/>
      <c r="N10" s="355"/>
      <c r="O10" s="355"/>
      <c r="P10" s="355"/>
      <c r="Q10" s="355"/>
      <c r="R10" s="355"/>
      <c r="S10" s="355"/>
      <c r="T10" s="355"/>
      <c r="U10" s="355"/>
      <c r="V10" s="355"/>
      <c r="W10" s="355"/>
      <c r="X10" s="355"/>
      <c r="Y10" s="355"/>
      <c r="Z10" s="355"/>
      <c r="AA10" s="355"/>
      <c r="AB10" s="355"/>
      <c r="AC10" s="355"/>
      <c r="AD10" s="355"/>
      <c r="AE10" s="355"/>
      <c r="AF10" s="355"/>
      <c r="AG10" s="355"/>
      <c r="AH10" s="355"/>
      <c r="AI10" s="355"/>
      <c r="AJ10" s="355"/>
      <c r="AK10" s="355"/>
      <c r="AL10" s="355"/>
      <c r="AM10" s="355"/>
      <c r="AN10" s="355"/>
      <c r="AO10" s="355"/>
      <c r="AP10" s="355"/>
      <c r="AQ10" s="25"/>
      <c r="AR10" s="25"/>
      <c r="AS10" s="25"/>
      <c r="AT10" s="25"/>
      <c r="AU10" s="25"/>
      <c r="AV10" s="25"/>
      <c r="AW10" s="25"/>
      <c r="AX10" s="24"/>
    </row>
    <row r="11" spans="1:50" s="20" customFormat="1" ht="13.5" customHeight="1" x14ac:dyDescent="0.15">
      <c r="A11" s="355"/>
      <c r="B11" s="355"/>
      <c r="C11" s="355"/>
      <c r="D11" s="355"/>
      <c r="E11" s="355"/>
      <c r="F11" s="355"/>
      <c r="G11" s="355"/>
      <c r="H11" s="355"/>
      <c r="I11" s="355"/>
      <c r="J11" s="355"/>
      <c r="K11" s="355"/>
      <c r="L11" s="355"/>
      <c r="M11" s="355"/>
      <c r="N11" s="355"/>
      <c r="O11" s="355"/>
      <c r="P11" s="355"/>
      <c r="Q11" s="355"/>
      <c r="R11" s="355"/>
      <c r="S11" s="355"/>
      <c r="T11" s="355"/>
      <c r="U11" s="355"/>
      <c r="V11" s="355"/>
      <c r="W11" s="355"/>
      <c r="X11" s="355"/>
      <c r="Y11" s="355"/>
      <c r="Z11" s="355"/>
      <c r="AA11" s="355"/>
      <c r="AB11" s="355"/>
      <c r="AC11" s="355"/>
      <c r="AD11" s="355"/>
      <c r="AE11" s="355"/>
      <c r="AF11" s="355"/>
      <c r="AG11" s="355"/>
      <c r="AH11" s="355"/>
      <c r="AI11" s="355"/>
      <c r="AJ11" s="355"/>
      <c r="AK11" s="355"/>
      <c r="AL11" s="355"/>
      <c r="AM11" s="355"/>
      <c r="AN11" s="355"/>
      <c r="AO11" s="355"/>
      <c r="AP11" s="355"/>
      <c r="AQ11" s="25"/>
      <c r="AR11" s="25"/>
      <c r="AS11" s="25"/>
      <c r="AT11" s="25"/>
      <c r="AU11" s="25"/>
      <c r="AV11" s="25"/>
      <c r="AW11" s="25"/>
      <c r="AX11" s="24"/>
    </row>
    <row r="12" spans="1:50" s="20" customFormat="1" ht="13.5" customHeight="1" x14ac:dyDescent="0.15">
      <c r="A12" s="355"/>
      <c r="B12" s="355"/>
      <c r="C12" s="355"/>
      <c r="D12" s="355"/>
      <c r="E12" s="355"/>
      <c r="F12" s="355"/>
      <c r="G12" s="355"/>
      <c r="H12" s="355"/>
      <c r="I12" s="355"/>
      <c r="J12" s="355"/>
      <c r="K12" s="355"/>
      <c r="L12" s="355"/>
      <c r="M12" s="355"/>
      <c r="N12" s="355"/>
      <c r="O12" s="355"/>
      <c r="P12" s="355"/>
      <c r="Q12" s="355"/>
      <c r="R12" s="355"/>
      <c r="S12" s="355"/>
      <c r="T12" s="355"/>
      <c r="U12" s="355"/>
      <c r="V12" s="355"/>
      <c r="W12" s="355"/>
      <c r="X12" s="355"/>
      <c r="Y12" s="355"/>
      <c r="Z12" s="355"/>
      <c r="AA12" s="355"/>
      <c r="AB12" s="355"/>
      <c r="AC12" s="355"/>
      <c r="AD12" s="355"/>
      <c r="AE12" s="355"/>
      <c r="AF12" s="355"/>
      <c r="AG12" s="355"/>
      <c r="AH12" s="355"/>
      <c r="AI12" s="355"/>
      <c r="AJ12" s="355"/>
      <c r="AK12" s="355"/>
      <c r="AL12" s="355"/>
      <c r="AM12" s="355"/>
      <c r="AN12" s="355"/>
      <c r="AO12" s="355"/>
      <c r="AP12" s="355"/>
      <c r="AQ12" s="25"/>
      <c r="AR12" s="25"/>
      <c r="AS12" s="25"/>
      <c r="AT12" s="25"/>
      <c r="AU12" s="25"/>
      <c r="AV12" s="25"/>
      <c r="AW12" s="25"/>
      <c r="AX12" s="24"/>
    </row>
    <row r="13" spans="1:50" s="20" customFormat="1" ht="13.5" customHeight="1" x14ac:dyDescent="0.15">
      <c r="A13" s="355"/>
      <c r="B13" s="355"/>
      <c r="C13" s="355"/>
      <c r="D13" s="355"/>
      <c r="E13" s="355"/>
      <c r="F13" s="355"/>
      <c r="G13" s="355"/>
      <c r="H13" s="355"/>
      <c r="I13" s="355"/>
      <c r="J13" s="355"/>
      <c r="K13" s="355"/>
      <c r="L13" s="355"/>
      <c r="M13" s="355"/>
      <c r="N13" s="355"/>
      <c r="O13" s="355"/>
      <c r="P13" s="355"/>
      <c r="Q13" s="355"/>
      <c r="R13" s="355"/>
      <c r="S13" s="355"/>
      <c r="T13" s="355"/>
      <c r="U13" s="355"/>
      <c r="V13" s="355"/>
      <c r="W13" s="355"/>
      <c r="X13" s="355"/>
      <c r="Y13" s="355"/>
      <c r="Z13" s="355"/>
      <c r="AA13" s="355"/>
      <c r="AB13" s="355"/>
      <c r="AC13" s="355"/>
      <c r="AD13" s="355"/>
      <c r="AE13" s="355"/>
      <c r="AF13" s="355"/>
      <c r="AG13" s="355"/>
      <c r="AH13" s="355"/>
      <c r="AI13" s="355"/>
      <c r="AJ13" s="355"/>
      <c r="AK13" s="355"/>
      <c r="AL13" s="355"/>
      <c r="AM13" s="355"/>
      <c r="AN13" s="355"/>
      <c r="AO13" s="355"/>
      <c r="AP13" s="355"/>
      <c r="AQ13" s="25"/>
      <c r="AR13" s="25"/>
      <c r="AS13" s="25"/>
      <c r="AT13" s="25"/>
      <c r="AU13" s="25"/>
      <c r="AV13" s="25"/>
      <c r="AW13" s="25"/>
      <c r="AX13" s="24"/>
    </row>
    <row r="14" spans="1:50" s="20" customFormat="1" ht="13.5" customHeight="1" x14ac:dyDescent="0.15">
      <c r="A14" s="355"/>
      <c r="B14" s="355"/>
      <c r="C14" s="355"/>
      <c r="D14" s="355"/>
      <c r="E14" s="355"/>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25"/>
      <c r="AR14" s="25"/>
      <c r="AS14" s="25"/>
      <c r="AT14" s="25"/>
      <c r="AU14" s="25"/>
      <c r="AV14" s="25"/>
      <c r="AW14" s="25"/>
      <c r="AX14" s="24"/>
    </row>
    <row r="15" spans="1:50" s="20" customFormat="1" ht="13.5" customHeight="1" x14ac:dyDescent="0.15">
      <c r="A15" s="355"/>
      <c r="B15" s="355"/>
      <c r="C15" s="355"/>
      <c r="D15" s="355"/>
      <c r="E15" s="355"/>
      <c r="F15" s="355"/>
      <c r="G15" s="355"/>
      <c r="H15" s="355"/>
      <c r="I15" s="355"/>
      <c r="J15" s="355"/>
      <c r="K15" s="355"/>
      <c r="L15" s="355"/>
      <c r="M15" s="355"/>
      <c r="N15" s="355"/>
      <c r="O15" s="355"/>
      <c r="P15" s="355"/>
      <c r="Q15" s="355"/>
      <c r="R15" s="355"/>
      <c r="S15" s="355"/>
      <c r="T15" s="355"/>
      <c r="U15" s="355"/>
      <c r="V15" s="355"/>
      <c r="W15" s="355"/>
      <c r="X15" s="355"/>
      <c r="Y15" s="355"/>
      <c r="Z15" s="355"/>
      <c r="AA15" s="355"/>
      <c r="AB15" s="355"/>
      <c r="AC15" s="355"/>
      <c r="AD15" s="355"/>
      <c r="AE15" s="355"/>
      <c r="AF15" s="355"/>
      <c r="AG15" s="355"/>
      <c r="AH15" s="355"/>
      <c r="AI15" s="355"/>
      <c r="AJ15" s="355"/>
      <c r="AK15" s="355"/>
      <c r="AL15" s="355"/>
      <c r="AM15" s="355"/>
      <c r="AN15" s="355"/>
      <c r="AO15" s="355"/>
      <c r="AP15" s="355"/>
      <c r="AQ15" s="25"/>
      <c r="AR15" s="25"/>
      <c r="AS15" s="25"/>
      <c r="AT15" s="25"/>
      <c r="AU15" s="25"/>
      <c r="AV15" s="25"/>
      <c r="AW15" s="25"/>
      <c r="AX15" s="24"/>
    </row>
    <row r="16" spans="1:50" s="20" customFormat="1" ht="13.5" customHeight="1" x14ac:dyDescent="0.15">
      <c r="A16" s="355"/>
      <c r="B16" s="355"/>
      <c r="C16" s="355"/>
      <c r="D16" s="355"/>
      <c r="E16" s="355"/>
      <c r="F16" s="355"/>
      <c r="G16" s="355"/>
      <c r="H16" s="355"/>
      <c r="I16" s="355"/>
      <c r="J16" s="355"/>
      <c r="K16" s="355"/>
      <c r="L16" s="355"/>
      <c r="M16" s="355"/>
      <c r="N16" s="355"/>
      <c r="O16" s="355"/>
      <c r="P16" s="355"/>
      <c r="Q16" s="355"/>
      <c r="R16" s="355"/>
      <c r="S16" s="355"/>
      <c r="T16" s="355"/>
      <c r="U16" s="355"/>
      <c r="V16" s="355"/>
      <c r="W16" s="355"/>
      <c r="X16" s="355"/>
      <c r="Y16" s="355"/>
      <c r="Z16" s="355"/>
      <c r="AA16" s="355"/>
      <c r="AB16" s="355"/>
      <c r="AC16" s="355"/>
      <c r="AD16" s="355"/>
      <c r="AE16" s="355"/>
      <c r="AF16" s="355"/>
      <c r="AG16" s="355"/>
      <c r="AH16" s="355"/>
      <c r="AI16" s="355"/>
      <c r="AJ16" s="355"/>
      <c r="AK16" s="355"/>
      <c r="AL16" s="355"/>
      <c r="AM16" s="355"/>
      <c r="AN16" s="355"/>
      <c r="AO16" s="355"/>
      <c r="AP16" s="355"/>
      <c r="AQ16" s="25"/>
      <c r="AR16" s="25"/>
      <c r="AS16" s="25"/>
      <c r="AT16" s="25"/>
      <c r="AU16" s="25"/>
      <c r="AV16" s="25"/>
      <c r="AW16" s="25"/>
      <c r="AX16" s="24"/>
    </row>
    <row r="17" spans="1:50" s="20" customFormat="1" ht="13.5" customHeight="1" x14ac:dyDescent="0.15">
      <c r="A17" s="355"/>
      <c r="B17" s="355"/>
      <c r="C17" s="355"/>
      <c r="D17" s="355"/>
      <c r="E17" s="355"/>
      <c r="F17" s="355"/>
      <c r="G17" s="355"/>
      <c r="H17" s="355"/>
      <c r="I17" s="355"/>
      <c r="J17" s="355"/>
      <c r="K17" s="355"/>
      <c r="L17" s="355"/>
      <c r="M17" s="355"/>
      <c r="N17" s="355"/>
      <c r="O17" s="355"/>
      <c r="P17" s="355"/>
      <c r="Q17" s="355"/>
      <c r="R17" s="355"/>
      <c r="S17" s="355"/>
      <c r="T17" s="355"/>
      <c r="U17" s="355"/>
      <c r="V17" s="355"/>
      <c r="W17" s="355"/>
      <c r="X17" s="355"/>
      <c r="Y17" s="355"/>
      <c r="Z17" s="355"/>
      <c r="AA17" s="355"/>
      <c r="AB17" s="355"/>
      <c r="AC17" s="355"/>
      <c r="AD17" s="355"/>
      <c r="AE17" s="355"/>
      <c r="AF17" s="355"/>
      <c r="AG17" s="355"/>
      <c r="AH17" s="355"/>
      <c r="AI17" s="355"/>
      <c r="AJ17" s="355"/>
      <c r="AK17" s="355"/>
      <c r="AL17" s="355"/>
      <c r="AM17" s="355"/>
      <c r="AN17" s="355"/>
      <c r="AO17" s="355"/>
      <c r="AP17" s="355"/>
      <c r="AQ17" s="25"/>
      <c r="AR17" s="25"/>
      <c r="AS17" s="25"/>
      <c r="AT17" s="25"/>
      <c r="AU17" s="25"/>
      <c r="AV17" s="25"/>
      <c r="AW17" s="25"/>
      <c r="AX17" s="24"/>
    </row>
    <row r="18" spans="1:50" s="20" customFormat="1" ht="13.5" customHeight="1" x14ac:dyDescent="0.15">
      <c r="A18" s="355"/>
      <c r="B18" s="355"/>
      <c r="C18" s="355"/>
      <c r="D18" s="355"/>
      <c r="E18" s="355"/>
      <c r="F18" s="355"/>
      <c r="G18" s="355"/>
      <c r="H18" s="355"/>
      <c r="I18" s="355"/>
      <c r="J18" s="355"/>
      <c r="K18" s="355"/>
      <c r="L18" s="355"/>
      <c r="M18" s="355"/>
      <c r="N18" s="355"/>
      <c r="O18" s="355"/>
      <c r="P18" s="355"/>
      <c r="Q18" s="355"/>
      <c r="R18" s="355"/>
      <c r="S18" s="355"/>
      <c r="T18" s="355"/>
      <c r="U18" s="355"/>
      <c r="V18" s="355"/>
      <c r="W18" s="355"/>
      <c r="X18" s="355"/>
      <c r="Y18" s="355"/>
      <c r="Z18" s="355"/>
      <c r="AA18" s="355"/>
      <c r="AB18" s="355"/>
      <c r="AC18" s="355"/>
      <c r="AD18" s="355"/>
      <c r="AE18" s="355"/>
      <c r="AF18" s="355"/>
      <c r="AG18" s="355"/>
      <c r="AH18" s="355"/>
      <c r="AI18" s="355"/>
      <c r="AJ18" s="355"/>
      <c r="AK18" s="355"/>
      <c r="AL18" s="355"/>
      <c r="AM18" s="355"/>
      <c r="AN18" s="355"/>
      <c r="AO18" s="355"/>
      <c r="AP18" s="355"/>
      <c r="AQ18" s="25"/>
      <c r="AR18" s="25"/>
      <c r="AS18" s="25"/>
      <c r="AT18" s="25"/>
      <c r="AU18" s="25"/>
      <c r="AV18" s="25"/>
      <c r="AW18" s="25"/>
      <c r="AX18" s="24"/>
    </row>
    <row r="19" spans="1:50" s="20" customFormat="1" ht="13.5" customHeight="1" x14ac:dyDescent="0.15">
      <c r="A19" s="355"/>
      <c r="B19" s="355"/>
      <c r="C19" s="355"/>
      <c r="D19" s="355"/>
      <c r="E19" s="355"/>
      <c r="F19" s="355"/>
      <c r="G19" s="355"/>
      <c r="H19" s="355"/>
      <c r="I19" s="355"/>
      <c r="J19" s="355"/>
      <c r="K19" s="355"/>
      <c r="L19" s="355"/>
      <c r="M19" s="355"/>
      <c r="N19" s="355"/>
      <c r="O19" s="355"/>
      <c r="P19" s="355"/>
      <c r="Q19" s="355"/>
      <c r="R19" s="355"/>
      <c r="S19" s="355"/>
      <c r="T19" s="355"/>
      <c r="U19" s="355"/>
      <c r="V19" s="355"/>
      <c r="W19" s="355"/>
      <c r="X19" s="355"/>
      <c r="Y19" s="355"/>
      <c r="Z19" s="355"/>
      <c r="AA19" s="355"/>
      <c r="AB19" s="355"/>
      <c r="AC19" s="355"/>
      <c r="AD19" s="355"/>
      <c r="AE19" s="355"/>
      <c r="AF19" s="355"/>
      <c r="AG19" s="355"/>
      <c r="AH19" s="355"/>
      <c r="AI19" s="355"/>
      <c r="AJ19" s="355"/>
      <c r="AK19" s="355"/>
      <c r="AL19" s="355"/>
      <c r="AM19" s="355"/>
      <c r="AN19" s="355"/>
      <c r="AO19" s="355"/>
      <c r="AP19" s="355"/>
      <c r="AQ19" s="25"/>
      <c r="AR19" s="25"/>
      <c r="AS19" s="25"/>
      <c r="AT19" s="25"/>
      <c r="AU19" s="25"/>
      <c r="AV19" s="25"/>
      <c r="AW19" s="25"/>
      <c r="AX19" s="24"/>
    </row>
    <row r="20" spans="1:50" s="20" customFormat="1" ht="13.5" customHeight="1" x14ac:dyDescent="0.15">
      <c r="A20" s="355"/>
      <c r="B20" s="355"/>
      <c r="C20" s="355"/>
      <c r="D20" s="355"/>
      <c r="E20" s="355"/>
      <c r="F20" s="355"/>
      <c r="G20" s="355"/>
      <c r="H20" s="355"/>
      <c r="I20" s="355"/>
      <c r="J20" s="355"/>
      <c r="K20" s="355"/>
      <c r="L20" s="355"/>
      <c r="M20" s="355"/>
      <c r="N20" s="355"/>
      <c r="O20" s="355"/>
      <c r="P20" s="355"/>
      <c r="Q20" s="355"/>
      <c r="R20" s="355"/>
      <c r="S20" s="355"/>
      <c r="T20" s="355"/>
      <c r="U20" s="355"/>
      <c r="V20" s="355"/>
      <c r="W20" s="355"/>
      <c r="X20" s="355"/>
      <c r="Y20" s="355"/>
      <c r="Z20" s="355"/>
      <c r="AA20" s="355"/>
      <c r="AB20" s="355"/>
      <c r="AC20" s="355"/>
      <c r="AD20" s="355"/>
      <c r="AE20" s="355"/>
      <c r="AF20" s="355"/>
      <c r="AG20" s="355"/>
      <c r="AH20" s="355"/>
      <c r="AI20" s="355"/>
      <c r="AJ20" s="355"/>
      <c r="AK20" s="355"/>
      <c r="AL20" s="355"/>
      <c r="AM20" s="355"/>
      <c r="AN20" s="355"/>
      <c r="AO20" s="355"/>
      <c r="AP20" s="355"/>
      <c r="AQ20" s="25"/>
      <c r="AR20" s="25"/>
      <c r="AS20" s="25"/>
      <c r="AT20" s="25"/>
      <c r="AU20" s="25"/>
      <c r="AV20" s="25"/>
      <c r="AW20" s="25"/>
      <c r="AX20" s="24"/>
    </row>
    <row r="21" spans="1:50" s="20" customFormat="1" ht="13.5" customHeight="1" x14ac:dyDescent="0.15">
      <c r="A21" s="355"/>
      <c r="B21" s="355"/>
      <c r="C21" s="355"/>
      <c r="D21" s="355"/>
      <c r="E21" s="355"/>
      <c r="F21" s="355"/>
      <c r="G21" s="355"/>
      <c r="H21" s="355"/>
      <c r="I21" s="355"/>
      <c r="J21" s="355"/>
      <c r="K21" s="355"/>
      <c r="L21" s="355"/>
      <c r="M21" s="355"/>
      <c r="N21" s="355"/>
      <c r="O21" s="355"/>
      <c r="P21" s="355"/>
      <c r="Q21" s="355"/>
      <c r="R21" s="355"/>
      <c r="S21" s="355"/>
      <c r="T21" s="355"/>
      <c r="U21" s="355"/>
      <c r="V21" s="355"/>
      <c r="W21" s="355"/>
      <c r="X21" s="355"/>
      <c r="Y21" s="355"/>
      <c r="Z21" s="355"/>
      <c r="AA21" s="355"/>
      <c r="AB21" s="355"/>
      <c r="AC21" s="355"/>
      <c r="AD21" s="355"/>
      <c r="AE21" s="355"/>
      <c r="AF21" s="355"/>
      <c r="AG21" s="355"/>
      <c r="AH21" s="355"/>
      <c r="AI21" s="355"/>
      <c r="AJ21" s="355"/>
      <c r="AK21" s="355"/>
      <c r="AL21" s="355"/>
      <c r="AM21" s="355"/>
      <c r="AN21" s="355"/>
      <c r="AO21" s="355"/>
      <c r="AP21" s="355"/>
      <c r="AQ21" s="25"/>
      <c r="AR21" s="25"/>
      <c r="AS21" s="25"/>
      <c r="AT21" s="25"/>
      <c r="AU21" s="25"/>
      <c r="AV21" s="25"/>
      <c r="AW21" s="25"/>
      <c r="AX21" s="24"/>
    </row>
    <row r="22" spans="1:50" s="20" customFormat="1" ht="13.5" customHeight="1" x14ac:dyDescent="0.15">
      <c r="A22" s="355"/>
      <c r="B22" s="355"/>
      <c r="C22" s="355"/>
      <c r="D22" s="355"/>
      <c r="E22" s="355"/>
      <c r="F22" s="355"/>
      <c r="G22" s="355"/>
      <c r="H22" s="355"/>
      <c r="I22" s="355"/>
      <c r="J22" s="355"/>
      <c r="K22" s="355"/>
      <c r="L22" s="355"/>
      <c r="M22" s="355"/>
      <c r="N22" s="355"/>
      <c r="O22" s="355"/>
      <c r="P22" s="355"/>
      <c r="Q22" s="355"/>
      <c r="R22" s="355"/>
      <c r="S22" s="355"/>
      <c r="T22" s="355"/>
      <c r="U22" s="355"/>
      <c r="V22" s="355"/>
      <c r="W22" s="355"/>
      <c r="X22" s="355"/>
      <c r="Y22" s="355"/>
      <c r="Z22" s="355"/>
      <c r="AA22" s="355"/>
      <c r="AB22" s="355"/>
      <c r="AC22" s="355"/>
      <c r="AD22" s="355"/>
      <c r="AE22" s="355"/>
      <c r="AF22" s="355"/>
      <c r="AG22" s="355"/>
      <c r="AH22" s="355"/>
      <c r="AI22" s="355"/>
      <c r="AJ22" s="355"/>
      <c r="AK22" s="355"/>
      <c r="AL22" s="355"/>
      <c r="AM22" s="355"/>
      <c r="AN22" s="355"/>
      <c r="AO22" s="355"/>
      <c r="AP22" s="355"/>
      <c r="AQ22" s="25"/>
      <c r="AR22" s="25"/>
      <c r="AS22" s="25"/>
      <c r="AT22" s="25"/>
      <c r="AU22" s="25"/>
      <c r="AV22" s="25"/>
      <c r="AW22" s="25"/>
      <c r="AX22" s="24"/>
    </row>
    <row r="23" spans="1:50" s="20" customFormat="1" ht="13.5" customHeight="1" x14ac:dyDescent="0.15">
      <c r="A23" s="355"/>
      <c r="B23" s="355"/>
      <c r="C23" s="355"/>
      <c r="D23" s="355"/>
      <c r="E23" s="355"/>
      <c r="F23" s="355"/>
      <c r="G23" s="355"/>
      <c r="H23" s="355"/>
      <c r="I23" s="355"/>
      <c r="J23" s="355"/>
      <c r="K23" s="355"/>
      <c r="L23" s="355"/>
      <c r="M23" s="355"/>
      <c r="N23" s="355"/>
      <c r="O23" s="355"/>
      <c r="P23" s="355"/>
      <c r="Q23" s="355"/>
      <c r="R23" s="355"/>
      <c r="S23" s="355"/>
      <c r="T23" s="355"/>
      <c r="U23" s="355"/>
      <c r="V23" s="355"/>
      <c r="W23" s="355"/>
      <c r="X23" s="355"/>
      <c r="Y23" s="355"/>
      <c r="Z23" s="355"/>
      <c r="AA23" s="355"/>
      <c r="AB23" s="355"/>
      <c r="AC23" s="355"/>
      <c r="AD23" s="355"/>
      <c r="AE23" s="355"/>
      <c r="AF23" s="355"/>
      <c r="AG23" s="355"/>
      <c r="AH23" s="355"/>
      <c r="AI23" s="355"/>
      <c r="AJ23" s="355"/>
      <c r="AK23" s="355"/>
      <c r="AL23" s="355"/>
      <c r="AM23" s="355"/>
      <c r="AN23" s="355"/>
      <c r="AO23" s="355"/>
      <c r="AP23" s="355"/>
      <c r="AQ23" s="25"/>
      <c r="AR23" s="25"/>
      <c r="AS23" s="25"/>
      <c r="AT23" s="25"/>
      <c r="AU23" s="25"/>
      <c r="AV23" s="25"/>
      <c r="AW23" s="25"/>
      <c r="AX23" s="24"/>
    </row>
    <row r="24" spans="1:50" s="20" customFormat="1" ht="13.5" customHeight="1" x14ac:dyDescent="0.15">
      <c r="A24" s="355"/>
      <c r="B24" s="355"/>
      <c r="C24" s="355"/>
      <c r="D24" s="355"/>
      <c r="E24" s="355"/>
      <c r="F24" s="355"/>
      <c r="G24" s="355"/>
      <c r="H24" s="355"/>
      <c r="I24" s="355"/>
      <c r="J24" s="355"/>
      <c r="K24" s="355"/>
      <c r="L24" s="355"/>
      <c r="M24" s="355"/>
      <c r="N24" s="355"/>
      <c r="O24" s="355"/>
      <c r="P24" s="355"/>
      <c r="Q24" s="355"/>
      <c r="R24" s="355"/>
      <c r="S24" s="355"/>
      <c r="T24" s="355"/>
      <c r="U24" s="355"/>
      <c r="V24" s="355"/>
      <c r="W24" s="355"/>
      <c r="X24" s="355"/>
      <c r="Y24" s="355"/>
      <c r="Z24" s="355"/>
      <c r="AA24" s="355"/>
      <c r="AB24" s="355"/>
      <c r="AC24" s="355"/>
      <c r="AD24" s="355"/>
      <c r="AE24" s="355"/>
      <c r="AF24" s="355"/>
      <c r="AG24" s="355"/>
      <c r="AH24" s="355"/>
      <c r="AI24" s="355"/>
      <c r="AJ24" s="355"/>
      <c r="AK24" s="355"/>
      <c r="AL24" s="355"/>
      <c r="AM24" s="355"/>
      <c r="AN24" s="355"/>
      <c r="AO24" s="355"/>
      <c r="AP24" s="355"/>
      <c r="AQ24" s="25"/>
      <c r="AR24" s="25"/>
      <c r="AS24" s="25"/>
      <c r="AT24" s="25"/>
      <c r="AU24" s="25"/>
      <c r="AV24" s="25"/>
      <c r="AW24" s="25"/>
      <c r="AX24" s="24"/>
    </row>
    <row r="25" spans="1:50" s="20" customFormat="1" ht="13.5" customHeight="1" x14ac:dyDescent="0.15">
      <c r="A25" s="355"/>
      <c r="B25" s="355"/>
      <c r="C25" s="355"/>
      <c r="D25" s="355"/>
      <c r="E25" s="355"/>
      <c r="F25" s="355"/>
      <c r="G25" s="355"/>
      <c r="H25" s="355"/>
      <c r="I25" s="355"/>
      <c r="J25" s="355"/>
      <c r="K25" s="355"/>
      <c r="L25" s="355"/>
      <c r="M25" s="355"/>
      <c r="N25" s="355"/>
      <c r="O25" s="355"/>
      <c r="P25" s="355"/>
      <c r="Q25" s="355"/>
      <c r="R25" s="355"/>
      <c r="S25" s="355"/>
      <c r="T25" s="355"/>
      <c r="U25" s="355"/>
      <c r="V25" s="355"/>
      <c r="W25" s="355"/>
      <c r="X25" s="355"/>
      <c r="Y25" s="355"/>
      <c r="Z25" s="355"/>
      <c r="AA25" s="355"/>
      <c r="AB25" s="355"/>
      <c r="AC25" s="355"/>
      <c r="AD25" s="355"/>
      <c r="AE25" s="355"/>
      <c r="AF25" s="355"/>
      <c r="AG25" s="355"/>
      <c r="AH25" s="355"/>
      <c r="AI25" s="355"/>
      <c r="AJ25" s="355"/>
      <c r="AK25" s="355"/>
      <c r="AL25" s="355"/>
      <c r="AM25" s="355"/>
      <c r="AN25" s="355"/>
      <c r="AO25" s="355"/>
      <c r="AP25" s="355"/>
      <c r="AQ25" s="25"/>
      <c r="AR25" s="25"/>
      <c r="AS25" s="25"/>
      <c r="AT25" s="25"/>
      <c r="AU25" s="25"/>
      <c r="AV25" s="25"/>
      <c r="AW25" s="25"/>
      <c r="AX25" s="24"/>
    </row>
    <row r="26" spans="1:50" s="20" customFormat="1" ht="13.5" customHeight="1" x14ac:dyDescent="0.15">
      <c r="A26" s="355"/>
      <c r="B26" s="355"/>
      <c r="C26" s="355"/>
      <c r="D26" s="355"/>
      <c r="E26" s="355"/>
      <c r="F26" s="355"/>
      <c r="G26" s="355"/>
      <c r="H26" s="355"/>
      <c r="I26" s="355"/>
      <c r="J26" s="355"/>
      <c r="K26" s="355"/>
      <c r="L26" s="355"/>
      <c r="M26" s="355"/>
      <c r="N26" s="355"/>
      <c r="O26" s="355"/>
      <c r="P26" s="355"/>
      <c r="Q26" s="355"/>
      <c r="R26" s="355"/>
      <c r="S26" s="355"/>
      <c r="T26" s="355"/>
      <c r="U26" s="355"/>
      <c r="V26" s="355"/>
      <c r="W26" s="355"/>
      <c r="X26" s="355"/>
      <c r="Y26" s="355"/>
      <c r="Z26" s="355"/>
      <c r="AA26" s="355"/>
      <c r="AB26" s="355"/>
      <c r="AC26" s="355"/>
      <c r="AD26" s="355"/>
      <c r="AE26" s="355"/>
      <c r="AF26" s="355"/>
      <c r="AG26" s="355"/>
      <c r="AH26" s="355"/>
      <c r="AI26" s="355"/>
      <c r="AJ26" s="355"/>
      <c r="AK26" s="355"/>
      <c r="AL26" s="355"/>
      <c r="AM26" s="355"/>
      <c r="AN26" s="355"/>
      <c r="AO26" s="355"/>
      <c r="AP26" s="355"/>
      <c r="AQ26" s="25"/>
      <c r="AR26" s="25"/>
      <c r="AS26" s="25"/>
      <c r="AT26" s="25"/>
      <c r="AU26" s="25"/>
      <c r="AV26" s="25"/>
      <c r="AW26" s="25"/>
      <c r="AX26" s="24"/>
    </row>
    <row r="27" spans="1:50" s="20" customFormat="1" ht="13.5" customHeight="1" x14ac:dyDescent="0.15">
      <c r="A27" s="355"/>
      <c r="B27" s="355"/>
      <c r="C27" s="355"/>
      <c r="D27" s="355"/>
      <c r="E27" s="355"/>
      <c r="F27" s="355"/>
      <c r="G27" s="355"/>
      <c r="H27" s="355"/>
      <c r="I27" s="355"/>
      <c r="J27" s="355"/>
      <c r="K27" s="355"/>
      <c r="L27" s="355"/>
      <c r="M27" s="355"/>
      <c r="N27" s="355"/>
      <c r="O27" s="355"/>
      <c r="P27" s="355"/>
      <c r="Q27" s="355"/>
      <c r="R27" s="355"/>
      <c r="S27" s="355"/>
      <c r="T27" s="355"/>
      <c r="U27" s="355"/>
      <c r="V27" s="355"/>
      <c r="W27" s="355"/>
      <c r="X27" s="355"/>
      <c r="Y27" s="355"/>
      <c r="Z27" s="355"/>
      <c r="AA27" s="355"/>
      <c r="AB27" s="355"/>
      <c r="AC27" s="355"/>
      <c r="AD27" s="355"/>
      <c r="AE27" s="355"/>
      <c r="AF27" s="355"/>
      <c r="AG27" s="355"/>
      <c r="AH27" s="355"/>
      <c r="AI27" s="355"/>
      <c r="AJ27" s="355"/>
      <c r="AK27" s="355"/>
      <c r="AL27" s="355"/>
      <c r="AM27" s="355"/>
      <c r="AN27" s="355"/>
      <c r="AO27" s="355"/>
      <c r="AP27" s="355"/>
      <c r="AQ27" s="25"/>
      <c r="AR27" s="25"/>
      <c r="AS27" s="25"/>
      <c r="AT27" s="25"/>
      <c r="AU27" s="25"/>
      <c r="AV27" s="25"/>
      <c r="AW27" s="25"/>
      <c r="AX27" s="24"/>
    </row>
    <row r="28" spans="1:50" s="20" customFormat="1" ht="13.5" customHeight="1" x14ac:dyDescent="0.15">
      <c r="A28" s="355"/>
      <c r="B28" s="355"/>
      <c r="C28" s="355"/>
      <c r="D28" s="355"/>
      <c r="E28" s="355"/>
      <c r="F28" s="355"/>
      <c r="G28" s="355"/>
      <c r="H28" s="355"/>
      <c r="I28" s="355"/>
      <c r="J28" s="355"/>
      <c r="K28" s="355"/>
      <c r="L28" s="355"/>
      <c r="M28" s="355"/>
      <c r="N28" s="355"/>
      <c r="O28" s="355"/>
      <c r="P28" s="355"/>
      <c r="Q28" s="355"/>
      <c r="R28" s="355"/>
      <c r="S28" s="355"/>
      <c r="T28" s="355"/>
      <c r="U28" s="355"/>
      <c r="V28" s="355"/>
      <c r="W28" s="355"/>
      <c r="X28" s="355"/>
      <c r="Y28" s="355"/>
      <c r="Z28" s="355"/>
      <c r="AA28" s="355"/>
      <c r="AB28" s="355"/>
      <c r="AC28" s="355"/>
      <c r="AD28" s="355"/>
      <c r="AE28" s="355"/>
      <c r="AF28" s="355"/>
      <c r="AG28" s="355"/>
      <c r="AH28" s="355"/>
      <c r="AI28" s="355"/>
      <c r="AJ28" s="355"/>
      <c r="AK28" s="355"/>
      <c r="AL28" s="355"/>
      <c r="AM28" s="355"/>
      <c r="AN28" s="355"/>
      <c r="AO28" s="355"/>
      <c r="AP28" s="355"/>
      <c r="AQ28" s="25"/>
      <c r="AR28" s="25"/>
      <c r="AS28" s="25"/>
      <c r="AT28" s="25"/>
      <c r="AU28" s="25"/>
      <c r="AV28" s="25"/>
      <c r="AW28" s="25"/>
      <c r="AX28" s="24"/>
    </row>
    <row r="29" spans="1:50" s="20" customFormat="1" ht="13.5" customHeight="1" x14ac:dyDescent="0.15">
      <c r="A29" s="355"/>
      <c r="B29" s="355"/>
      <c r="C29" s="355"/>
      <c r="D29" s="355"/>
      <c r="E29" s="355"/>
      <c r="F29" s="355"/>
      <c r="G29" s="355"/>
      <c r="H29" s="355"/>
      <c r="I29" s="355"/>
      <c r="J29" s="355"/>
      <c r="K29" s="355"/>
      <c r="L29" s="355"/>
      <c r="M29" s="355"/>
      <c r="N29" s="355"/>
      <c r="O29" s="355"/>
      <c r="P29" s="355"/>
      <c r="Q29" s="355"/>
      <c r="R29" s="355"/>
      <c r="S29" s="355"/>
      <c r="T29" s="355"/>
      <c r="U29" s="355"/>
      <c r="V29" s="355"/>
      <c r="W29" s="355"/>
      <c r="X29" s="355"/>
      <c r="Y29" s="355"/>
      <c r="Z29" s="355"/>
      <c r="AA29" s="355"/>
      <c r="AB29" s="355"/>
      <c r="AC29" s="355"/>
      <c r="AD29" s="355"/>
      <c r="AE29" s="355"/>
      <c r="AF29" s="355"/>
      <c r="AG29" s="355"/>
      <c r="AH29" s="355"/>
      <c r="AI29" s="355"/>
      <c r="AJ29" s="355"/>
      <c r="AK29" s="355"/>
      <c r="AL29" s="355"/>
      <c r="AM29" s="355"/>
      <c r="AN29" s="355"/>
      <c r="AO29" s="355"/>
      <c r="AP29" s="355"/>
      <c r="AQ29" s="25"/>
      <c r="AR29" s="25"/>
      <c r="AS29" s="25"/>
      <c r="AT29" s="25"/>
      <c r="AU29" s="25"/>
      <c r="AV29" s="25"/>
      <c r="AW29" s="25"/>
      <c r="AX29" s="24"/>
    </row>
    <row r="30" spans="1:50" s="20" customFormat="1" ht="13.5" customHeight="1" x14ac:dyDescent="0.15">
      <c r="A30" s="355"/>
      <c r="B30" s="355"/>
      <c r="C30" s="355"/>
      <c r="D30" s="355"/>
      <c r="E30" s="355"/>
      <c r="F30" s="355"/>
      <c r="G30" s="355"/>
      <c r="H30" s="355"/>
      <c r="I30" s="355"/>
      <c r="J30" s="355"/>
      <c r="K30" s="355"/>
      <c r="L30" s="355"/>
      <c r="M30" s="355"/>
      <c r="N30" s="355"/>
      <c r="O30" s="355"/>
      <c r="P30" s="355"/>
      <c r="Q30" s="355"/>
      <c r="R30" s="355"/>
      <c r="S30" s="355"/>
      <c r="T30" s="355"/>
      <c r="U30" s="355"/>
      <c r="V30" s="355"/>
      <c r="W30" s="355"/>
      <c r="X30" s="355"/>
      <c r="Y30" s="355"/>
      <c r="Z30" s="355"/>
      <c r="AA30" s="355"/>
      <c r="AB30" s="355"/>
      <c r="AC30" s="355"/>
      <c r="AD30" s="355"/>
      <c r="AE30" s="355"/>
      <c r="AF30" s="355"/>
      <c r="AG30" s="355"/>
      <c r="AH30" s="355"/>
      <c r="AI30" s="355"/>
      <c r="AJ30" s="355"/>
      <c r="AK30" s="355"/>
      <c r="AL30" s="355"/>
      <c r="AM30" s="355"/>
      <c r="AN30" s="355"/>
      <c r="AO30" s="355"/>
      <c r="AP30" s="355"/>
      <c r="AQ30" s="25"/>
      <c r="AR30" s="25"/>
      <c r="AS30" s="25"/>
      <c r="AT30" s="25"/>
      <c r="AU30" s="25"/>
      <c r="AV30" s="25"/>
      <c r="AW30" s="25"/>
      <c r="AX30" s="24"/>
    </row>
    <row r="31" spans="1:50" s="20" customFormat="1" ht="13.5" customHeight="1" x14ac:dyDescent="0.15">
      <c r="A31" s="355"/>
      <c r="B31" s="355"/>
      <c r="C31" s="355"/>
      <c r="D31" s="355"/>
      <c r="E31" s="355"/>
      <c r="F31" s="355"/>
      <c r="G31" s="355"/>
      <c r="H31" s="355"/>
      <c r="I31" s="355"/>
      <c r="J31" s="355"/>
      <c r="K31" s="355"/>
      <c r="L31" s="355"/>
      <c r="M31" s="355"/>
      <c r="N31" s="355"/>
      <c r="O31" s="355"/>
      <c r="P31" s="355"/>
      <c r="Q31" s="355"/>
      <c r="R31" s="355"/>
      <c r="S31" s="355"/>
      <c r="T31" s="355"/>
      <c r="U31" s="355"/>
      <c r="V31" s="355"/>
      <c r="W31" s="355"/>
      <c r="X31" s="355"/>
      <c r="Y31" s="355"/>
      <c r="Z31" s="355"/>
      <c r="AA31" s="355"/>
      <c r="AB31" s="355"/>
      <c r="AC31" s="355"/>
      <c r="AD31" s="355"/>
      <c r="AE31" s="355"/>
      <c r="AF31" s="355"/>
      <c r="AG31" s="355"/>
      <c r="AH31" s="355"/>
      <c r="AI31" s="355"/>
      <c r="AJ31" s="355"/>
      <c r="AK31" s="355"/>
      <c r="AL31" s="355"/>
      <c r="AM31" s="355"/>
      <c r="AN31" s="355"/>
      <c r="AO31" s="355"/>
      <c r="AP31" s="355"/>
      <c r="AQ31" s="25"/>
      <c r="AR31" s="25"/>
      <c r="AS31" s="25"/>
      <c r="AT31" s="25"/>
      <c r="AU31" s="25"/>
      <c r="AV31" s="25"/>
      <c r="AW31" s="25"/>
      <c r="AX31" s="24"/>
    </row>
    <row r="32" spans="1:50" s="20" customFormat="1" ht="13.5" customHeight="1" x14ac:dyDescent="0.15">
      <c r="A32" s="355"/>
      <c r="B32" s="355"/>
      <c r="C32" s="355"/>
      <c r="D32" s="355"/>
      <c r="E32" s="355"/>
      <c r="F32" s="355"/>
      <c r="G32" s="355"/>
      <c r="H32" s="355"/>
      <c r="I32" s="355"/>
      <c r="J32" s="355"/>
      <c r="K32" s="355"/>
      <c r="L32" s="355"/>
      <c r="M32" s="355"/>
      <c r="N32" s="355"/>
      <c r="O32" s="355"/>
      <c r="P32" s="355"/>
      <c r="Q32" s="355"/>
      <c r="R32" s="355"/>
      <c r="S32" s="355"/>
      <c r="T32" s="355"/>
      <c r="U32" s="355"/>
      <c r="V32" s="355"/>
      <c r="W32" s="355"/>
      <c r="X32" s="355"/>
      <c r="Y32" s="355"/>
      <c r="Z32" s="355"/>
      <c r="AA32" s="355"/>
      <c r="AB32" s="355"/>
      <c r="AC32" s="355"/>
      <c r="AD32" s="355"/>
      <c r="AE32" s="355"/>
      <c r="AF32" s="355"/>
      <c r="AG32" s="355"/>
      <c r="AH32" s="355"/>
      <c r="AI32" s="355"/>
      <c r="AJ32" s="355"/>
      <c r="AK32" s="355"/>
      <c r="AL32" s="355"/>
      <c r="AM32" s="355"/>
      <c r="AN32" s="355"/>
      <c r="AO32" s="355"/>
      <c r="AP32" s="355"/>
      <c r="AQ32" s="25"/>
      <c r="AR32" s="25"/>
      <c r="AS32" s="25"/>
      <c r="AT32" s="25"/>
      <c r="AU32" s="25"/>
      <c r="AV32" s="25"/>
      <c r="AW32" s="25"/>
      <c r="AX32" s="24"/>
    </row>
    <row r="33" spans="1:50" s="20" customFormat="1" ht="13.5" customHeight="1" x14ac:dyDescent="0.15">
      <c r="A33" s="355"/>
      <c r="B33" s="355"/>
      <c r="C33" s="355"/>
      <c r="D33" s="355"/>
      <c r="E33" s="355"/>
      <c r="F33" s="355"/>
      <c r="G33" s="355"/>
      <c r="H33" s="355"/>
      <c r="I33" s="355"/>
      <c r="J33" s="355"/>
      <c r="K33" s="355"/>
      <c r="L33" s="355"/>
      <c r="M33" s="355"/>
      <c r="N33" s="355"/>
      <c r="O33" s="355"/>
      <c r="P33" s="355"/>
      <c r="Q33" s="355"/>
      <c r="R33" s="355"/>
      <c r="S33" s="355"/>
      <c r="T33" s="355"/>
      <c r="U33" s="355"/>
      <c r="V33" s="355"/>
      <c r="W33" s="355"/>
      <c r="X33" s="355"/>
      <c r="Y33" s="355"/>
      <c r="Z33" s="355"/>
      <c r="AA33" s="355"/>
      <c r="AB33" s="355"/>
      <c r="AC33" s="355"/>
      <c r="AD33" s="355"/>
      <c r="AE33" s="355"/>
      <c r="AF33" s="355"/>
      <c r="AG33" s="355"/>
      <c r="AH33" s="355"/>
      <c r="AI33" s="355"/>
      <c r="AJ33" s="355"/>
      <c r="AK33" s="355"/>
      <c r="AL33" s="355"/>
      <c r="AM33" s="355"/>
      <c r="AN33" s="355"/>
      <c r="AO33" s="355"/>
      <c r="AP33" s="355"/>
      <c r="AQ33" s="25"/>
      <c r="AR33" s="25"/>
      <c r="AS33" s="25"/>
      <c r="AT33" s="25"/>
      <c r="AU33" s="25"/>
      <c r="AV33" s="25"/>
      <c r="AW33" s="25"/>
      <c r="AX33" s="24"/>
    </row>
    <row r="34" spans="1:50" s="20" customFormat="1" ht="13.5" customHeight="1" x14ac:dyDescent="0.15">
      <c r="A34" s="355"/>
      <c r="B34" s="355"/>
      <c r="C34" s="355"/>
      <c r="D34" s="355"/>
      <c r="E34" s="355"/>
      <c r="F34" s="355"/>
      <c r="G34" s="355"/>
      <c r="H34" s="355"/>
      <c r="I34" s="355"/>
      <c r="J34" s="355"/>
      <c r="K34" s="355"/>
      <c r="L34" s="355"/>
      <c r="M34" s="355"/>
      <c r="N34" s="355"/>
      <c r="O34" s="355"/>
      <c r="P34" s="355"/>
      <c r="Q34" s="355"/>
      <c r="R34" s="355"/>
      <c r="S34" s="355"/>
      <c r="T34" s="355"/>
      <c r="U34" s="355"/>
      <c r="V34" s="355"/>
      <c r="W34" s="355"/>
      <c r="X34" s="355"/>
      <c r="Y34" s="355"/>
      <c r="Z34" s="355"/>
      <c r="AA34" s="355"/>
      <c r="AB34" s="355"/>
      <c r="AC34" s="355"/>
      <c r="AD34" s="355"/>
      <c r="AE34" s="355"/>
      <c r="AF34" s="355"/>
      <c r="AG34" s="355"/>
      <c r="AH34" s="355"/>
      <c r="AI34" s="355"/>
      <c r="AJ34" s="355"/>
      <c r="AK34" s="355"/>
      <c r="AL34" s="355"/>
      <c r="AM34" s="355"/>
      <c r="AN34" s="355"/>
      <c r="AO34" s="355"/>
      <c r="AP34" s="355"/>
      <c r="AQ34" s="25"/>
      <c r="AR34" s="25"/>
      <c r="AS34" s="25"/>
      <c r="AT34" s="25"/>
      <c r="AU34" s="25"/>
      <c r="AV34" s="25"/>
      <c r="AW34" s="25"/>
      <c r="AX34" s="24"/>
    </row>
    <row r="35" spans="1:50" s="20" customFormat="1" ht="13.5" customHeight="1" x14ac:dyDescent="0.15">
      <c r="A35" s="355"/>
      <c r="B35" s="355"/>
      <c r="C35" s="355"/>
      <c r="D35" s="355"/>
      <c r="E35" s="355"/>
      <c r="F35" s="355"/>
      <c r="G35" s="355"/>
      <c r="H35" s="355"/>
      <c r="I35" s="355"/>
      <c r="J35" s="355"/>
      <c r="K35" s="355"/>
      <c r="L35" s="355"/>
      <c r="M35" s="355"/>
      <c r="N35" s="355"/>
      <c r="O35" s="355"/>
      <c r="P35" s="355"/>
      <c r="Q35" s="355"/>
      <c r="R35" s="355"/>
      <c r="S35" s="355"/>
      <c r="T35" s="355"/>
      <c r="U35" s="355"/>
      <c r="V35" s="355"/>
      <c r="W35" s="355"/>
      <c r="X35" s="355"/>
      <c r="Y35" s="355"/>
      <c r="Z35" s="355"/>
      <c r="AA35" s="355"/>
      <c r="AB35" s="355"/>
      <c r="AC35" s="355"/>
      <c r="AD35" s="355"/>
      <c r="AE35" s="355"/>
      <c r="AF35" s="355"/>
      <c r="AG35" s="355"/>
      <c r="AH35" s="355"/>
      <c r="AI35" s="355"/>
      <c r="AJ35" s="355"/>
      <c r="AK35" s="355"/>
      <c r="AL35" s="355"/>
      <c r="AM35" s="355"/>
      <c r="AN35" s="355"/>
      <c r="AO35" s="355"/>
      <c r="AP35" s="355"/>
      <c r="AQ35" s="25"/>
      <c r="AR35" s="25"/>
      <c r="AS35" s="25"/>
      <c r="AT35" s="25"/>
      <c r="AU35" s="25"/>
      <c r="AV35" s="25"/>
      <c r="AW35" s="25"/>
      <c r="AX35" s="24"/>
    </row>
    <row r="36" spans="1:50" s="20" customFormat="1" ht="13.5" customHeight="1" x14ac:dyDescent="0.15">
      <c r="A36" s="355"/>
      <c r="B36" s="355"/>
      <c r="C36" s="355"/>
      <c r="D36" s="355"/>
      <c r="E36" s="355"/>
      <c r="F36" s="355"/>
      <c r="G36" s="355"/>
      <c r="H36" s="355"/>
      <c r="I36" s="355"/>
      <c r="J36" s="355"/>
      <c r="K36" s="355"/>
      <c r="L36" s="355"/>
      <c r="M36" s="355"/>
      <c r="N36" s="355"/>
      <c r="O36" s="355"/>
      <c r="P36" s="355"/>
      <c r="Q36" s="355"/>
      <c r="R36" s="355"/>
      <c r="S36" s="355"/>
      <c r="T36" s="355"/>
      <c r="U36" s="355"/>
      <c r="V36" s="355"/>
      <c r="W36" s="355"/>
      <c r="X36" s="355"/>
      <c r="Y36" s="355"/>
      <c r="Z36" s="355"/>
      <c r="AA36" s="355"/>
      <c r="AB36" s="355"/>
      <c r="AC36" s="355"/>
      <c r="AD36" s="355"/>
      <c r="AE36" s="355"/>
      <c r="AF36" s="355"/>
      <c r="AG36" s="355"/>
      <c r="AH36" s="355"/>
      <c r="AI36" s="355"/>
      <c r="AJ36" s="355"/>
      <c r="AK36" s="355"/>
      <c r="AL36" s="355"/>
      <c r="AM36" s="355"/>
      <c r="AN36" s="355"/>
      <c r="AO36" s="355"/>
      <c r="AP36" s="355"/>
      <c r="AQ36" s="25"/>
      <c r="AR36" s="25"/>
      <c r="AS36" s="25"/>
      <c r="AT36" s="25"/>
      <c r="AU36" s="25"/>
      <c r="AV36" s="25"/>
      <c r="AW36" s="25"/>
      <c r="AX36" s="24"/>
    </row>
    <row r="37" spans="1:50" s="20" customFormat="1" ht="13.5" customHeight="1" x14ac:dyDescent="0.15">
      <c r="A37" s="355"/>
      <c r="B37" s="355"/>
      <c r="C37" s="355"/>
      <c r="D37" s="355"/>
      <c r="E37" s="355"/>
      <c r="F37" s="355"/>
      <c r="G37" s="355"/>
      <c r="H37" s="355"/>
      <c r="I37" s="355"/>
      <c r="J37" s="355"/>
      <c r="K37" s="355"/>
      <c r="L37" s="355"/>
      <c r="M37" s="355"/>
      <c r="N37" s="355"/>
      <c r="O37" s="355"/>
      <c r="P37" s="355"/>
      <c r="Q37" s="355"/>
      <c r="R37" s="355"/>
      <c r="S37" s="355"/>
      <c r="T37" s="355"/>
      <c r="U37" s="355"/>
      <c r="V37" s="355"/>
      <c r="W37" s="355"/>
      <c r="X37" s="355"/>
      <c r="Y37" s="355"/>
      <c r="Z37" s="355"/>
      <c r="AA37" s="355"/>
      <c r="AB37" s="355"/>
      <c r="AC37" s="355"/>
      <c r="AD37" s="355"/>
      <c r="AE37" s="355"/>
      <c r="AF37" s="355"/>
      <c r="AG37" s="355"/>
      <c r="AH37" s="355"/>
      <c r="AI37" s="355"/>
      <c r="AJ37" s="355"/>
      <c r="AK37" s="355"/>
      <c r="AL37" s="355"/>
      <c r="AM37" s="355"/>
      <c r="AN37" s="355"/>
      <c r="AO37" s="355"/>
      <c r="AP37" s="355"/>
      <c r="AQ37" s="25"/>
      <c r="AR37" s="25"/>
      <c r="AS37" s="25"/>
      <c r="AT37" s="25"/>
      <c r="AU37" s="25"/>
      <c r="AV37" s="25"/>
      <c r="AW37" s="25"/>
      <c r="AX37" s="24"/>
    </row>
    <row r="38" spans="1:50" s="20" customFormat="1" ht="13.5" customHeight="1" x14ac:dyDescent="0.15">
      <c r="A38" s="355"/>
      <c r="B38" s="355"/>
      <c r="C38" s="355"/>
      <c r="D38" s="355"/>
      <c r="E38" s="355"/>
      <c r="F38" s="355"/>
      <c r="G38" s="355"/>
      <c r="H38" s="355"/>
      <c r="I38" s="355"/>
      <c r="J38" s="355"/>
      <c r="K38" s="355"/>
      <c r="L38" s="355"/>
      <c r="M38" s="355"/>
      <c r="N38" s="355"/>
      <c r="O38" s="355"/>
      <c r="P38" s="355"/>
      <c r="Q38" s="355"/>
      <c r="R38" s="355"/>
      <c r="S38" s="355"/>
      <c r="T38" s="355"/>
      <c r="U38" s="355"/>
      <c r="V38" s="355"/>
      <c r="W38" s="355"/>
      <c r="X38" s="355"/>
      <c r="Y38" s="355"/>
      <c r="Z38" s="355"/>
      <c r="AA38" s="355"/>
      <c r="AB38" s="355"/>
      <c r="AC38" s="355"/>
      <c r="AD38" s="355"/>
      <c r="AE38" s="355"/>
      <c r="AF38" s="355"/>
      <c r="AG38" s="355"/>
      <c r="AH38" s="355"/>
      <c r="AI38" s="355"/>
      <c r="AJ38" s="355"/>
      <c r="AK38" s="355"/>
      <c r="AL38" s="355"/>
      <c r="AM38" s="355"/>
      <c r="AN38" s="355"/>
      <c r="AO38" s="355"/>
      <c r="AP38" s="355"/>
      <c r="AQ38" s="25"/>
      <c r="AR38" s="25"/>
      <c r="AS38" s="25"/>
      <c r="AT38" s="25"/>
      <c r="AU38" s="25"/>
      <c r="AV38" s="25"/>
      <c r="AW38" s="25"/>
      <c r="AX38" s="24"/>
    </row>
    <row r="39" spans="1:50" s="20" customFormat="1" ht="13.5" customHeight="1" x14ac:dyDescent="0.15">
      <c r="A39" s="355"/>
      <c r="B39" s="355"/>
      <c r="C39" s="355"/>
      <c r="D39" s="355"/>
      <c r="E39" s="355"/>
      <c r="F39" s="355"/>
      <c r="G39" s="355"/>
      <c r="H39" s="355"/>
      <c r="I39" s="355"/>
      <c r="J39" s="355"/>
      <c r="K39" s="355"/>
      <c r="L39" s="355"/>
      <c r="M39" s="355"/>
      <c r="N39" s="355"/>
      <c r="O39" s="355"/>
      <c r="P39" s="355"/>
      <c r="Q39" s="355"/>
      <c r="R39" s="355"/>
      <c r="S39" s="355"/>
      <c r="T39" s="355"/>
      <c r="U39" s="355"/>
      <c r="V39" s="355"/>
      <c r="W39" s="355"/>
      <c r="X39" s="355"/>
      <c r="Y39" s="355"/>
      <c r="Z39" s="355"/>
      <c r="AA39" s="355"/>
      <c r="AB39" s="355"/>
      <c r="AC39" s="355"/>
      <c r="AD39" s="355"/>
      <c r="AE39" s="355"/>
      <c r="AF39" s="355"/>
      <c r="AG39" s="355"/>
      <c r="AH39" s="355"/>
      <c r="AI39" s="355"/>
      <c r="AJ39" s="355"/>
      <c r="AK39" s="355"/>
      <c r="AL39" s="355"/>
      <c r="AM39" s="355"/>
      <c r="AN39" s="355"/>
      <c r="AO39" s="355"/>
      <c r="AP39" s="355"/>
      <c r="AQ39" s="25"/>
      <c r="AR39" s="25"/>
      <c r="AS39" s="25"/>
      <c r="AT39" s="25"/>
      <c r="AU39" s="25"/>
      <c r="AV39" s="25"/>
      <c r="AW39" s="25"/>
      <c r="AX39" s="24"/>
    </row>
    <row r="40" spans="1:50" s="20" customFormat="1" ht="13.5" customHeight="1" x14ac:dyDescent="0.15">
      <c r="A40" s="355"/>
      <c r="B40" s="355"/>
      <c r="C40" s="355"/>
      <c r="D40" s="355"/>
      <c r="E40" s="355"/>
      <c r="F40" s="355"/>
      <c r="G40" s="355"/>
      <c r="H40" s="355"/>
      <c r="I40" s="355"/>
      <c r="J40" s="355"/>
      <c r="K40" s="355"/>
      <c r="L40" s="355"/>
      <c r="M40" s="355"/>
      <c r="N40" s="355"/>
      <c r="O40" s="355"/>
      <c r="P40" s="355"/>
      <c r="Q40" s="355"/>
      <c r="R40" s="355"/>
      <c r="S40" s="355"/>
      <c r="T40" s="355"/>
      <c r="U40" s="355"/>
      <c r="V40" s="355"/>
      <c r="W40" s="355"/>
      <c r="X40" s="355"/>
      <c r="Y40" s="355"/>
      <c r="Z40" s="355"/>
      <c r="AA40" s="355"/>
      <c r="AB40" s="355"/>
      <c r="AC40" s="355"/>
      <c r="AD40" s="355"/>
      <c r="AE40" s="355"/>
      <c r="AF40" s="355"/>
      <c r="AG40" s="355"/>
      <c r="AH40" s="355"/>
      <c r="AI40" s="355"/>
      <c r="AJ40" s="355"/>
      <c r="AK40" s="355"/>
      <c r="AL40" s="355"/>
      <c r="AM40" s="355"/>
      <c r="AN40" s="355"/>
      <c r="AO40" s="355"/>
      <c r="AP40" s="355"/>
      <c r="AQ40" s="25"/>
      <c r="AR40" s="25"/>
      <c r="AS40" s="25"/>
      <c r="AT40" s="25"/>
      <c r="AU40" s="25"/>
      <c r="AV40" s="25"/>
      <c r="AW40" s="25"/>
      <c r="AX40" s="24"/>
    </row>
    <row r="41" spans="1:50" s="20" customFormat="1" ht="13.5" customHeight="1" x14ac:dyDescent="0.15">
      <c r="A41" s="355"/>
      <c r="B41" s="355"/>
      <c r="C41" s="355"/>
      <c r="D41" s="355"/>
      <c r="E41" s="355"/>
      <c r="F41" s="355"/>
      <c r="G41" s="355"/>
      <c r="H41" s="355"/>
      <c r="I41" s="355"/>
      <c r="J41" s="355"/>
      <c r="K41" s="355"/>
      <c r="L41" s="355"/>
      <c r="M41" s="355"/>
      <c r="N41" s="355"/>
      <c r="O41" s="355"/>
      <c r="P41" s="355"/>
      <c r="Q41" s="355"/>
      <c r="R41" s="355"/>
      <c r="S41" s="355"/>
      <c r="T41" s="355"/>
      <c r="U41" s="355"/>
      <c r="V41" s="355"/>
      <c r="W41" s="355"/>
      <c r="X41" s="355"/>
      <c r="Y41" s="355"/>
      <c r="Z41" s="355"/>
      <c r="AA41" s="355"/>
      <c r="AB41" s="355"/>
      <c r="AC41" s="355"/>
      <c r="AD41" s="355"/>
      <c r="AE41" s="355"/>
      <c r="AF41" s="355"/>
      <c r="AG41" s="355"/>
      <c r="AH41" s="355"/>
      <c r="AI41" s="355"/>
      <c r="AJ41" s="355"/>
      <c r="AK41" s="355"/>
      <c r="AL41" s="355"/>
      <c r="AM41" s="355"/>
      <c r="AN41" s="355"/>
      <c r="AO41" s="355"/>
      <c r="AP41" s="355"/>
      <c r="AQ41" s="25"/>
      <c r="AR41" s="25"/>
      <c r="AS41" s="25"/>
      <c r="AT41" s="25"/>
      <c r="AU41" s="25"/>
      <c r="AV41" s="25"/>
      <c r="AW41" s="25"/>
      <c r="AX41" s="24"/>
    </row>
    <row r="42" spans="1:50" s="20" customFormat="1" ht="13.5" customHeight="1" x14ac:dyDescent="0.15">
      <c r="A42" s="355"/>
      <c r="B42" s="355"/>
      <c r="C42" s="355"/>
      <c r="D42" s="355"/>
      <c r="E42" s="355"/>
      <c r="F42" s="355"/>
      <c r="G42" s="355"/>
      <c r="H42" s="355"/>
      <c r="I42" s="355"/>
      <c r="J42" s="355"/>
      <c r="K42" s="355"/>
      <c r="L42" s="355"/>
      <c r="M42" s="355"/>
      <c r="N42" s="355"/>
      <c r="O42" s="355"/>
      <c r="P42" s="355"/>
      <c r="Q42" s="355"/>
      <c r="R42" s="355"/>
      <c r="S42" s="355"/>
      <c r="T42" s="355"/>
      <c r="U42" s="355"/>
      <c r="V42" s="355"/>
      <c r="W42" s="355"/>
      <c r="X42" s="355"/>
      <c r="Y42" s="355"/>
      <c r="Z42" s="355"/>
      <c r="AA42" s="355"/>
      <c r="AB42" s="355"/>
      <c r="AC42" s="355"/>
      <c r="AD42" s="355"/>
      <c r="AE42" s="355"/>
      <c r="AF42" s="355"/>
      <c r="AG42" s="355"/>
      <c r="AH42" s="355"/>
      <c r="AI42" s="355"/>
      <c r="AJ42" s="355"/>
      <c r="AK42" s="355"/>
      <c r="AL42" s="355"/>
      <c r="AM42" s="355"/>
      <c r="AN42" s="355"/>
      <c r="AO42" s="355"/>
      <c r="AP42" s="355"/>
      <c r="AQ42" s="25"/>
      <c r="AR42" s="25"/>
      <c r="AS42" s="25"/>
      <c r="AT42" s="25"/>
      <c r="AU42" s="25"/>
      <c r="AV42" s="25"/>
      <c r="AW42" s="25"/>
      <c r="AX42" s="24"/>
    </row>
    <row r="43" spans="1:50" s="20" customFormat="1" ht="13.5" customHeight="1" x14ac:dyDescent="0.15">
      <c r="A43" s="355"/>
      <c r="B43" s="355"/>
      <c r="C43" s="355"/>
      <c r="D43" s="355"/>
      <c r="E43" s="355"/>
      <c r="F43" s="355"/>
      <c r="G43" s="355"/>
      <c r="H43" s="355"/>
      <c r="I43" s="355"/>
      <c r="J43" s="355"/>
      <c r="K43" s="355"/>
      <c r="L43" s="355"/>
      <c r="M43" s="355"/>
      <c r="N43" s="355"/>
      <c r="O43" s="355"/>
      <c r="P43" s="355"/>
      <c r="Q43" s="355"/>
      <c r="R43" s="355"/>
      <c r="S43" s="355"/>
      <c r="T43" s="355"/>
      <c r="U43" s="355"/>
      <c r="V43" s="355"/>
      <c r="W43" s="355"/>
      <c r="X43" s="355"/>
      <c r="Y43" s="355"/>
      <c r="Z43" s="355"/>
      <c r="AA43" s="355"/>
      <c r="AB43" s="355"/>
      <c r="AC43" s="355"/>
      <c r="AD43" s="355"/>
      <c r="AE43" s="355"/>
      <c r="AF43" s="355"/>
      <c r="AG43" s="355"/>
      <c r="AH43" s="355"/>
      <c r="AI43" s="355"/>
      <c r="AJ43" s="355"/>
      <c r="AK43" s="355"/>
      <c r="AL43" s="355"/>
      <c r="AM43" s="355"/>
      <c r="AN43" s="355"/>
      <c r="AO43" s="355"/>
      <c r="AP43" s="355"/>
      <c r="AQ43" s="25"/>
      <c r="AR43" s="25"/>
      <c r="AS43" s="25"/>
      <c r="AT43" s="25"/>
      <c r="AU43" s="25"/>
      <c r="AV43" s="25"/>
      <c r="AW43" s="25"/>
      <c r="AX43" s="24"/>
    </row>
    <row r="44" spans="1:50" s="20" customFormat="1" ht="13.5" customHeight="1" x14ac:dyDescent="0.15">
      <c r="A44" s="355"/>
      <c r="B44" s="355"/>
      <c r="C44" s="355"/>
      <c r="D44" s="355"/>
      <c r="E44" s="355"/>
      <c r="F44" s="355"/>
      <c r="G44" s="355"/>
      <c r="H44" s="355"/>
      <c r="I44" s="355"/>
      <c r="J44" s="355"/>
      <c r="K44" s="355"/>
      <c r="L44" s="355"/>
      <c r="M44" s="355"/>
      <c r="N44" s="355"/>
      <c r="O44" s="355"/>
      <c r="P44" s="355"/>
      <c r="Q44" s="355"/>
      <c r="R44" s="355"/>
      <c r="S44" s="355"/>
      <c r="T44" s="355"/>
      <c r="U44" s="355"/>
      <c r="V44" s="355"/>
      <c r="W44" s="355"/>
      <c r="X44" s="355"/>
      <c r="Y44" s="355"/>
      <c r="Z44" s="355"/>
      <c r="AA44" s="355"/>
      <c r="AB44" s="355"/>
      <c r="AC44" s="355"/>
      <c r="AD44" s="355"/>
      <c r="AE44" s="355"/>
      <c r="AF44" s="355"/>
      <c r="AG44" s="355"/>
      <c r="AH44" s="355"/>
      <c r="AI44" s="355"/>
      <c r="AJ44" s="355"/>
      <c r="AK44" s="355"/>
      <c r="AL44" s="355"/>
      <c r="AM44" s="355"/>
      <c r="AN44" s="355"/>
      <c r="AO44" s="355"/>
      <c r="AP44" s="355"/>
      <c r="AQ44" s="25"/>
      <c r="AR44" s="25"/>
      <c r="AS44" s="25"/>
      <c r="AT44" s="25"/>
      <c r="AU44" s="25"/>
      <c r="AV44" s="25"/>
      <c r="AW44" s="25"/>
      <c r="AX44" s="24"/>
    </row>
    <row r="45" spans="1:50" s="20" customFormat="1" ht="13.5" customHeight="1" x14ac:dyDescent="0.15">
      <c r="A45" s="355"/>
      <c r="B45" s="355"/>
      <c r="C45" s="355"/>
      <c r="D45" s="355"/>
      <c r="E45" s="355"/>
      <c r="F45" s="355"/>
      <c r="G45" s="355"/>
      <c r="H45" s="355"/>
      <c r="I45" s="355"/>
      <c r="J45" s="355"/>
      <c r="K45" s="355"/>
      <c r="L45" s="355"/>
      <c r="M45" s="355"/>
      <c r="N45" s="355"/>
      <c r="O45" s="355"/>
      <c r="P45" s="355"/>
      <c r="Q45" s="355"/>
      <c r="R45" s="355"/>
      <c r="S45" s="355"/>
      <c r="T45" s="355"/>
      <c r="U45" s="355"/>
      <c r="V45" s="355"/>
      <c r="W45" s="355"/>
      <c r="X45" s="355"/>
      <c r="Y45" s="355"/>
      <c r="Z45" s="355"/>
      <c r="AA45" s="355"/>
      <c r="AB45" s="355"/>
      <c r="AC45" s="355"/>
      <c r="AD45" s="355"/>
      <c r="AE45" s="355"/>
      <c r="AF45" s="355"/>
      <c r="AG45" s="355"/>
      <c r="AH45" s="355"/>
      <c r="AI45" s="355"/>
      <c r="AJ45" s="355"/>
      <c r="AK45" s="355"/>
      <c r="AL45" s="355"/>
      <c r="AM45" s="355"/>
      <c r="AN45" s="355"/>
      <c r="AO45" s="355"/>
      <c r="AP45" s="355"/>
      <c r="AQ45" s="25"/>
      <c r="AR45" s="25"/>
      <c r="AS45" s="25"/>
      <c r="AT45" s="25"/>
      <c r="AU45" s="25"/>
      <c r="AV45" s="25"/>
      <c r="AW45" s="25"/>
      <c r="AX45" s="24"/>
    </row>
    <row r="46" spans="1:50" s="20" customFormat="1" ht="13.5" customHeight="1" x14ac:dyDescent="0.15">
      <c r="A46" s="355"/>
      <c r="B46" s="355"/>
      <c r="C46" s="355"/>
      <c r="D46" s="355"/>
      <c r="E46" s="355"/>
      <c r="F46" s="355"/>
      <c r="G46" s="355"/>
      <c r="H46" s="355"/>
      <c r="I46" s="355"/>
      <c r="J46" s="355"/>
      <c r="K46" s="355"/>
      <c r="L46" s="355"/>
      <c r="M46" s="355"/>
      <c r="N46" s="355"/>
      <c r="O46" s="355"/>
      <c r="P46" s="355"/>
      <c r="Q46" s="355"/>
      <c r="R46" s="355"/>
      <c r="S46" s="355"/>
      <c r="T46" s="355"/>
      <c r="U46" s="355"/>
      <c r="V46" s="355"/>
      <c r="W46" s="355"/>
      <c r="X46" s="355"/>
      <c r="Y46" s="355"/>
      <c r="Z46" s="355"/>
      <c r="AA46" s="355"/>
      <c r="AB46" s="355"/>
      <c r="AC46" s="355"/>
      <c r="AD46" s="355"/>
      <c r="AE46" s="355"/>
      <c r="AF46" s="355"/>
      <c r="AG46" s="355"/>
      <c r="AH46" s="355"/>
      <c r="AI46" s="355"/>
      <c r="AJ46" s="355"/>
      <c r="AK46" s="355"/>
      <c r="AL46" s="355"/>
      <c r="AM46" s="355"/>
      <c r="AN46" s="355"/>
      <c r="AO46" s="355"/>
      <c r="AP46" s="355"/>
      <c r="AQ46" s="25"/>
      <c r="AR46" s="25"/>
      <c r="AS46" s="25"/>
      <c r="AT46" s="25"/>
      <c r="AU46" s="25"/>
      <c r="AV46" s="25"/>
      <c r="AW46" s="25"/>
      <c r="AX46" s="24"/>
    </row>
    <row r="47" spans="1:50" s="20" customFormat="1" ht="13.5" customHeight="1" x14ac:dyDescent="0.15">
      <c r="A47" s="355"/>
      <c r="B47" s="355"/>
      <c r="C47" s="355"/>
      <c r="D47" s="355"/>
      <c r="E47" s="355"/>
      <c r="F47" s="355"/>
      <c r="G47" s="355"/>
      <c r="H47" s="355"/>
      <c r="I47" s="355"/>
      <c r="J47" s="355"/>
      <c r="K47" s="355"/>
      <c r="L47" s="355"/>
      <c r="M47" s="355"/>
      <c r="N47" s="355"/>
      <c r="O47" s="355"/>
      <c r="P47" s="355"/>
      <c r="Q47" s="355"/>
      <c r="R47" s="355"/>
      <c r="S47" s="355"/>
      <c r="T47" s="355"/>
      <c r="U47" s="355"/>
      <c r="V47" s="355"/>
      <c r="W47" s="355"/>
      <c r="X47" s="355"/>
      <c r="Y47" s="355"/>
      <c r="Z47" s="355"/>
      <c r="AA47" s="355"/>
      <c r="AB47" s="355"/>
      <c r="AC47" s="355"/>
      <c r="AD47" s="355"/>
      <c r="AE47" s="355"/>
      <c r="AF47" s="355"/>
      <c r="AG47" s="355"/>
      <c r="AH47" s="355"/>
      <c r="AI47" s="355"/>
      <c r="AJ47" s="355"/>
      <c r="AK47" s="355"/>
      <c r="AL47" s="355"/>
      <c r="AM47" s="355"/>
      <c r="AN47" s="355"/>
      <c r="AO47" s="355"/>
      <c r="AP47" s="355"/>
      <c r="AQ47" s="25"/>
      <c r="AR47" s="25"/>
      <c r="AS47" s="25"/>
      <c r="AT47" s="25"/>
      <c r="AU47" s="25"/>
      <c r="AV47" s="25"/>
      <c r="AW47" s="25"/>
      <c r="AX47" s="24"/>
    </row>
    <row r="48" spans="1:50" s="20" customFormat="1" ht="13.5" customHeight="1" x14ac:dyDescent="0.15">
      <c r="A48" s="355"/>
      <c r="B48" s="355"/>
      <c r="C48" s="355"/>
      <c r="D48" s="355"/>
      <c r="E48" s="355"/>
      <c r="F48" s="355"/>
      <c r="G48" s="355"/>
      <c r="H48" s="355"/>
      <c r="I48" s="355"/>
      <c r="J48" s="355"/>
      <c r="K48" s="355"/>
      <c r="L48" s="355"/>
      <c r="M48" s="355"/>
      <c r="N48" s="355"/>
      <c r="O48" s="355"/>
      <c r="P48" s="355"/>
      <c r="Q48" s="355"/>
      <c r="R48" s="355"/>
      <c r="S48" s="355"/>
      <c r="T48" s="355"/>
      <c r="U48" s="355"/>
      <c r="V48" s="355"/>
      <c r="W48" s="355"/>
      <c r="X48" s="355"/>
      <c r="Y48" s="355"/>
      <c r="Z48" s="355"/>
      <c r="AA48" s="355"/>
      <c r="AB48" s="355"/>
      <c r="AC48" s="355"/>
      <c r="AD48" s="355"/>
      <c r="AE48" s="355"/>
      <c r="AF48" s="355"/>
      <c r="AG48" s="355"/>
      <c r="AH48" s="355"/>
      <c r="AI48" s="355"/>
      <c r="AJ48" s="355"/>
      <c r="AK48" s="355"/>
      <c r="AL48" s="355"/>
      <c r="AM48" s="355"/>
      <c r="AN48" s="355"/>
      <c r="AO48" s="355"/>
      <c r="AP48" s="355"/>
      <c r="AQ48" s="25"/>
      <c r="AR48" s="25"/>
      <c r="AS48" s="25"/>
      <c r="AT48" s="25"/>
      <c r="AU48" s="25"/>
      <c r="AV48" s="25"/>
      <c r="AW48" s="25"/>
      <c r="AX48" s="24"/>
    </row>
    <row r="49" spans="1:50" s="20" customFormat="1" ht="13.5" customHeight="1" x14ac:dyDescent="0.15">
      <c r="A49" s="355"/>
      <c r="B49" s="355"/>
      <c r="C49" s="355"/>
      <c r="D49" s="355"/>
      <c r="E49" s="355"/>
      <c r="F49" s="355"/>
      <c r="G49" s="355"/>
      <c r="H49" s="355"/>
      <c r="I49" s="355"/>
      <c r="J49" s="355"/>
      <c r="K49" s="355"/>
      <c r="L49" s="355"/>
      <c r="M49" s="355"/>
      <c r="N49" s="355"/>
      <c r="O49" s="355"/>
      <c r="P49" s="355"/>
      <c r="Q49" s="355"/>
      <c r="R49" s="355"/>
      <c r="S49" s="355"/>
      <c r="T49" s="355"/>
      <c r="U49" s="355"/>
      <c r="V49" s="355"/>
      <c r="W49" s="355"/>
      <c r="X49" s="355"/>
      <c r="Y49" s="355"/>
      <c r="Z49" s="355"/>
      <c r="AA49" s="355"/>
      <c r="AB49" s="355"/>
      <c r="AC49" s="355"/>
      <c r="AD49" s="355"/>
      <c r="AE49" s="355"/>
      <c r="AF49" s="355"/>
      <c r="AG49" s="355"/>
      <c r="AH49" s="355"/>
      <c r="AI49" s="355"/>
      <c r="AJ49" s="355"/>
      <c r="AK49" s="355"/>
      <c r="AL49" s="355"/>
      <c r="AM49" s="355"/>
      <c r="AN49" s="355"/>
      <c r="AO49" s="355"/>
      <c r="AP49" s="355"/>
      <c r="AQ49" s="24"/>
      <c r="AR49" s="24"/>
      <c r="AS49" s="24"/>
      <c r="AT49" s="24"/>
      <c r="AU49" s="24"/>
      <c r="AV49" s="24"/>
      <c r="AW49" s="24"/>
      <c r="AX49" s="24"/>
    </row>
    <row r="50" spans="1:50" s="20" customFormat="1" ht="13.5" customHeight="1" x14ac:dyDescent="0.15">
      <c r="A50" s="355"/>
      <c r="B50" s="355"/>
      <c r="C50" s="355"/>
      <c r="D50" s="355"/>
      <c r="E50" s="355"/>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24"/>
      <c r="AR50" s="24"/>
      <c r="AS50" s="24"/>
      <c r="AT50" s="24"/>
      <c r="AU50" s="24"/>
      <c r="AV50" s="24"/>
      <c r="AW50" s="24"/>
      <c r="AX50" s="24"/>
    </row>
    <row r="51" spans="1:50" s="20" customFormat="1" ht="13.5" customHeight="1" x14ac:dyDescent="0.15">
      <c r="A51" s="355"/>
      <c r="B51" s="355"/>
      <c r="C51" s="355"/>
      <c r="D51" s="355"/>
      <c r="E51" s="355"/>
      <c r="F51" s="355"/>
      <c r="G51" s="355"/>
      <c r="H51" s="355"/>
      <c r="I51" s="355"/>
      <c r="J51" s="355"/>
      <c r="K51" s="355"/>
      <c r="L51" s="355"/>
      <c r="M51" s="355"/>
      <c r="N51" s="355"/>
      <c r="O51" s="355"/>
      <c r="P51" s="355"/>
      <c r="Q51" s="355"/>
      <c r="R51" s="355"/>
      <c r="S51" s="355"/>
      <c r="T51" s="355"/>
      <c r="U51" s="355"/>
      <c r="V51" s="355"/>
      <c r="W51" s="355"/>
      <c r="X51" s="355"/>
      <c r="Y51" s="355"/>
      <c r="Z51" s="355"/>
      <c r="AA51" s="355"/>
      <c r="AB51" s="355"/>
      <c r="AC51" s="355"/>
      <c r="AD51" s="355"/>
      <c r="AE51" s="355"/>
      <c r="AF51" s="355"/>
      <c r="AG51" s="355"/>
      <c r="AH51" s="355"/>
      <c r="AI51" s="355"/>
      <c r="AJ51" s="355"/>
      <c r="AK51" s="355"/>
      <c r="AL51" s="355"/>
      <c r="AM51" s="355"/>
      <c r="AN51" s="355"/>
      <c r="AO51" s="355"/>
      <c r="AP51" s="355"/>
      <c r="AQ51" s="24"/>
      <c r="AR51" s="24"/>
      <c r="AS51" s="24"/>
      <c r="AT51" s="24"/>
      <c r="AU51" s="24"/>
      <c r="AV51" s="24"/>
      <c r="AW51" s="24"/>
      <c r="AX51" s="24"/>
    </row>
    <row r="52" spans="1:50" s="20" customFormat="1" ht="13.5" customHeight="1" x14ac:dyDescent="0.15">
      <c r="A52" s="355"/>
      <c r="B52" s="355"/>
      <c r="C52" s="355"/>
      <c r="D52" s="355"/>
      <c r="E52" s="355"/>
      <c r="F52" s="355"/>
      <c r="G52" s="355"/>
      <c r="H52" s="355"/>
      <c r="I52" s="355"/>
      <c r="J52" s="355"/>
      <c r="K52" s="355"/>
      <c r="L52" s="355"/>
      <c r="M52" s="355"/>
      <c r="N52" s="355"/>
      <c r="O52" s="355"/>
      <c r="P52" s="355"/>
      <c r="Q52" s="355"/>
      <c r="R52" s="355"/>
      <c r="S52" s="355"/>
      <c r="T52" s="355"/>
      <c r="U52" s="355"/>
      <c r="V52" s="355"/>
      <c r="W52" s="355"/>
      <c r="X52" s="355"/>
      <c r="Y52" s="355"/>
      <c r="Z52" s="355"/>
      <c r="AA52" s="355"/>
      <c r="AB52" s="355"/>
      <c r="AC52" s="355"/>
      <c r="AD52" s="355"/>
      <c r="AE52" s="355"/>
      <c r="AF52" s="355"/>
      <c r="AG52" s="355"/>
      <c r="AH52" s="355"/>
      <c r="AI52" s="355"/>
      <c r="AJ52" s="355"/>
      <c r="AK52" s="355"/>
      <c r="AL52" s="355"/>
      <c r="AM52" s="355"/>
      <c r="AN52" s="355"/>
      <c r="AO52" s="355"/>
      <c r="AP52" s="355"/>
      <c r="AQ52" s="24"/>
      <c r="AR52" s="24"/>
      <c r="AS52" s="24"/>
      <c r="AT52" s="24"/>
      <c r="AU52" s="24"/>
      <c r="AV52" s="24"/>
      <c r="AW52" s="24"/>
      <c r="AX52" s="24"/>
    </row>
    <row r="53" spans="1:50" s="20" customFormat="1" ht="13.5" customHeight="1" x14ac:dyDescent="0.15">
      <c r="A53" s="355"/>
      <c r="B53" s="355"/>
      <c r="C53" s="355"/>
      <c r="D53" s="355"/>
      <c r="E53" s="355"/>
      <c r="F53" s="355"/>
      <c r="G53" s="355"/>
      <c r="H53" s="355"/>
      <c r="I53" s="355"/>
      <c r="J53" s="355"/>
      <c r="K53" s="355"/>
      <c r="L53" s="355"/>
      <c r="M53" s="355"/>
      <c r="N53" s="355"/>
      <c r="O53" s="355"/>
      <c r="P53" s="355"/>
      <c r="Q53" s="355"/>
      <c r="R53" s="355"/>
      <c r="S53" s="355"/>
      <c r="T53" s="355"/>
      <c r="U53" s="355"/>
      <c r="V53" s="355"/>
      <c r="W53" s="355"/>
      <c r="X53" s="355"/>
      <c r="Y53" s="355"/>
      <c r="Z53" s="355"/>
      <c r="AA53" s="355"/>
      <c r="AB53" s="355"/>
      <c r="AC53" s="355"/>
      <c r="AD53" s="355"/>
      <c r="AE53" s="355"/>
      <c r="AF53" s="355"/>
      <c r="AG53" s="355"/>
      <c r="AH53" s="355"/>
      <c r="AI53" s="355"/>
      <c r="AJ53" s="355"/>
      <c r="AK53" s="355"/>
      <c r="AL53" s="355"/>
      <c r="AM53" s="355"/>
      <c r="AN53" s="355"/>
      <c r="AO53" s="355"/>
      <c r="AP53" s="355"/>
      <c r="AQ53" s="24"/>
      <c r="AR53" s="24"/>
      <c r="AS53" s="24"/>
      <c r="AT53" s="24"/>
      <c r="AU53" s="24"/>
      <c r="AV53" s="24"/>
      <c r="AW53" s="24"/>
      <c r="AX53" s="24"/>
    </row>
    <row r="54" spans="1:50" s="20" customFormat="1" ht="13.5" customHeight="1" x14ac:dyDescent="0.15">
      <c r="A54" s="355"/>
      <c r="B54" s="355"/>
      <c r="C54" s="355"/>
      <c r="D54" s="355"/>
      <c r="E54" s="355"/>
      <c r="F54" s="355"/>
      <c r="G54" s="355"/>
      <c r="H54" s="355"/>
      <c r="I54" s="355"/>
      <c r="J54" s="355"/>
      <c r="K54" s="355"/>
      <c r="L54" s="355"/>
      <c r="M54" s="355"/>
      <c r="N54" s="355"/>
      <c r="O54" s="355"/>
      <c r="P54" s="355"/>
      <c r="Q54" s="355"/>
      <c r="R54" s="355"/>
      <c r="S54" s="355"/>
      <c r="T54" s="355"/>
      <c r="U54" s="355"/>
      <c r="V54" s="355"/>
      <c r="W54" s="355"/>
      <c r="X54" s="355"/>
      <c r="Y54" s="355"/>
      <c r="Z54" s="355"/>
      <c r="AA54" s="355"/>
      <c r="AB54" s="355"/>
      <c r="AC54" s="355"/>
      <c r="AD54" s="355"/>
      <c r="AE54" s="355"/>
      <c r="AF54" s="355"/>
      <c r="AG54" s="355"/>
      <c r="AH54" s="355"/>
      <c r="AI54" s="355"/>
      <c r="AJ54" s="355"/>
      <c r="AK54" s="355"/>
      <c r="AL54" s="355"/>
      <c r="AM54" s="355"/>
      <c r="AN54" s="355"/>
      <c r="AO54" s="355"/>
      <c r="AP54" s="355"/>
      <c r="AQ54" s="24"/>
      <c r="AR54" s="24"/>
      <c r="AS54" s="24"/>
      <c r="AT54" s="24"/>
      <c r="AU54" s="24"/>
      <c r="AV54" s="24"/>
      <c r="AW54" s="24"/>
      <c r="AX54" s="24"/>
    </row>
    <row r="55" spans="1:50" s="20" customFormat="1" ht="13.5" customHeight="1" x14ac:dyDescent="0.15">
      <c r="A55" s="355"/>
      <c r="B55" s="355"/>
      <c r="C55" s="355"/>
      <c r="D55" s="355"/>
      <c r="E55" s="355"/>
      <c r="F55" s="355"/>
      <c r="G55" s="355"/>
      <c r="H55" s="355"/>
      <c r="I55" s="355"/>
      <c r="J55" s="355"/>
      <c r="K55" s="355"/>
      <c r="L55" s="355"/>
      <c r="M55" s="355"/>
      <c r="N55" s="355"/>
      <c r="O55" s="355"/>
      <c r="P55" s="355"/>
      <c r="Q55" s="355"/>
      <c r="R55" s="355"/>
      <c r="S55" s="355"/>
      <c r="T55" s="355"/>
      <c r="U55" s="355"/>
      <c r="V55" s="355"/>
      <c r="W55" s="355"/>
      <c r="X55" s="355"/>
      <c r="Y55" s="355"/>
      <c r="Z55" s="355"/>
      <c r="AA55" s="355"/>
      <c r="AB55" s="355"/>
      <c r="AC55" s="355"/>
      <c r="AD55" s="355"/>
      <c r="AE55" s="355"/>
      <c r="AF55" s="355"/>
      <c r="AG55" s="355"/>
      <c r="AH55" s="355"/>
      <c r="AI55" s="355"/>
      <c r="AJ55" s="355"/>
      <c r="AK55" s="355"/>
      <c r="AL55" s="355"/>
      <c r="AM55" s="355"/>
      <c r="AN55" s="355"/>
      <c r="AO55" s="355"/>
      <c r="AP55" s="355"/>
      <c r="AQ55" s="24"/>
      <c r="AR55" s="24"/>
      <c r="AS55" s="24"/>
      <c r="AT55" s="24"/>
      <c r="AU55" s="24"/>
      <c r="AV55" s="24"/>
      <c r="AW55" s="24"/>
      <c r="AX55" s="24"/>
    </row>
    <row r="56" spans="1:50" s="20" customFormat="1" ht="13.5" customHeight="1" x14ac:dyDescent="0.15">
      <c r="A56" s="355"/>
      <c r="B56" s="355"/>
      <c r="C56" s="355"/>
      <c r="D56" s="355"/>
      <c r="E56" s="355"/>
      <c r="F56" s="355"/>
      <c r="G56" s="355"/>
      <c r="H56" s="355"/>
      <c r="I56" s="355"/>
      <c r="J56" s="355"/>
      <c r="K56" s="355"/>
      <c r="L56" s="355"/>
      <c r="M56" s="355"/>
      <c r="N56" s="355"/>
      <c r="O56" s="355"/>
      <c r="P56" s="355"/>
      <c r="Q56" s="355"/>
      <c r="R56" s="355"/>
      <c r="S56" s="355"/>
      <c r="T56" s="355"/>
      <c r="U56" s="355"/>
      <c r="V56" s="355"/>
      <c r="W56" s="355"/>
      <c r="X56" s="355"/>
      <c r="Y56" s="355"/>
      <c r="Z56" s="355"/>
      <c r="AA56" s="355"/>
      <c r="AB56" s="355"/>
      <c r="AC56" s="355"/>
      <c r="AD56" s="355"/>
      <c r="AE56" s="355"/>
      <c r="AF56" s="355"/>
      <c r="AG56" s="355"/>
      <c r="AH56" s="355"/>
      <c r="AI56" s="355"/>
      <c r="AJ56" s="355"/>
      <c r="AK56" s="355"/>
      <c r="AL56" s="355"/>
      <c r="AM56" s="355"/>
      <c r="AN56" s="355"/>
      <c r="AO56" s="355"/>
      <c r="AP56" s="355"/>
      <c r="AQ56" s="24"/>
      <c r="AR56" s="24"/>
      <c r="AS56" s="24"/>
      <c r="AT56" s="24"/>
      <c r="AU56" s="24"/>
      <c r="AV56" s="24"/>
      <c r="AW56" s="24"/>
      <c r="AX56" s="24"/>
    </row>
    <row r="57" spans="1:50" s="20" customFormat="1" ht="13.5" customHeight="1" x14ac:dyDescent="0.15">
      <c r="A57" s="355"/>
      <c r="B57" s="355"/>
      <c r="C57" s="355"/>
      <c r="D57" s="355"/>
      <c r="E57" s="355"/>
      <c r="F57" s="355"/>
      <c r="G57" s="355"/>
      <c r="H57" s="355"/>
      <c r="I57" s="355"/>
      <c r="J57" s="355"/>
      <c r="K57" s="355"/>
      <c r="L57" s="355"/>
      <c r="M57" s="355"/>
      <c r="N57" s="355"/>
      <c r="O57" s="355"/>
      <c r="P57" s="355"/>
      <c r="Q57" s="355"/>
      <c r="R57" s="355"/>
      <c r="S57" s="355"/>
      <c r="T57" s="355"/>
      <c r="U57" s="355"/>
      <c r="V57" s="355"/>
      <c r="W57" s="355"/>
      <c r="X57" s="355"/>
      <c r="Y57" s="355"/>
      <c r="Z57" s="355"/>
      <c r="AA57" s="355"/>
      <c r="AB57" s="355"/>
      <c r="AC57" s="355"/>
      <c r="AD57" s="355"/>
      <c r="AE57" s="355"/>
      <c r="AF57" s="355"/>
      <c r="AG57" s="355"/>
      <c r="AH57" s="355"/>
      <c r="AI57" s="355"/>
      <c r="AJ57" s="355"/>
      <c r="AK57" s="355"/>
      <c r="AL57" s="355"/>
      <c r="AM57" s="355"/>
      <c r="AN57" s="355"/>
      <c r="AO57" s="355"/>
      <c r="AP57" s="355"/>
      <c r="AQ57" s="24"/>
      <c r="AR57" s="24"/>
      <c r="AS57" s="24"/>
      <c r="AT57" s="24"/>
      <c r="AU57" s="24"/>
      <c r="AV57" s="24"/>
      <c r="AW57" s="24"/>
      <c r="AX57" s="24"/>
    </row>
    <row r="58" spans="1:50" s="20" customFormat="1" ht="13.5" customHeight="1" x14ac:dyDescent="0.15">
      <c r="A58" s="355"/>
      <c r="B58" s="355"/>
      <c r="C58" s="355"/>
      <c r="D58" s="355"/>
      <c r="E58" s="355"/>
      <c r="F58" s="355"/>
      <c r="G58" s="355"/>
      <c r="H58" s="355"/>
      <c r="I58" s="355"/>
      <c r="J58" s="355"/>
      <c r="K58" s="355"/>
      <c r="L58" s="355"/>
      <c r="M58" s="355"/>
      <c r="N58" s="355"/>
      <c r="O58" s="355"/>
      <c r="P58" s="355"/>
      <c r="Q58" s="355"/>
      <c r="R58" s="355"/>
      <c r="S58" s="355"/>
      <c r="T58" s="355"/>
      <c r="U58" s="355"/>
      <c r="V58" s="355"/>
      <c r="W58" s="355"/>
      <c r="X58" s="355"/>
      <c r="Y58" s="355"/>
      <c r="Z58" s="355"/>
      <c r="AA58" s="355"/>
      <c r="AB58" s="355"/>
      <c r="AC58" s="355"/>
      <c r="AD58" s="355"/>
      <c r="AE58" s="355"/>
      <c r="AF58" s="355"/>
      <c r="AG58" s="355"/>
      <c r="AH58" s="355"/>
      <c r="AI58" s="355"/>
      <c r="AJ58" s="355"/>
      <c r="AK58" s="355"/>
      <c r="AL58" s="355"/>
      <c r="AM58" s="355"/>
      <c r="AN58" s="355"/>
      <c r="AO58" s="355"/>
      <c r="AP58" s="355"/>
      <c r="AQ58" s="24"/>
      <c r="AR58" s="24"/>
      <c r="AS58" s="24"/>
      <c r="AT58" s="24"/>
      <c r="AU58" s="24"/>
      <c r="AV58" s="24"/>
      <c r="AW58" s="24"/>
      <c r="AX58" s="24"/>
    </row>
    <row r="59" spans="1:50" s="20" customFormat="1" ht="13.5" customHeight="1" x14ac:dyDescent="0.15">
      <c r="A59" s="355"/>
      <c r="B59" s="355"/>
      <c r="C59" s="355"/>
      <c r="D59" s="355"/>
      <c r="E59" s="355"/>
      <c r="F59" s="355"/>
      <c r="G59" s="355"/>
      <c r="H59" s="355"/>
      <c r="I59" s="355"/>
      <c r="J59" s="355"/>
      <c r="K59" s="355"/>
      <c r="L59" s="355"/>
      <c r="M59" s="355"/>
      <c r="N59" s="355"/>
      <c r="O59" s="355"/>
      <c r="P59" s="355"/>
      <c r="Q59" s="355"/>
      <c r="R59" s="355"/>
      <c r="S59" s="355"/>
      <c r="T59" s="355"/>
      <c r="U59" s="355"/>
      <c r="V59" s="355"/>
      <c r="W59" s="355"/>
      <c r="X59" s="355"/>
      <c r="Y59" s="355"/>
      <c r="Z59" s="355"/>
      <c r="AA59" s="355"/>
      <c r="AB59" s="355"/>
      <c r="AC59" s="355"/>
      <c r="AD59" s="355"/>
      <c r="AE59" s="355"/>
      <c r="AF59" s="355"/>
      <c r="AG59" s="355"/>
      <c r="AH59" s="355"/>
      <c r="AI59" s="355"/>
      <c r="AJ59" s="355"/>
      <c r="AK59" s="355"/>
      <c r="AL59" s="355"/>
      <c r="AM59" s="355"/>
      <c r="AN59" s="355"/>
      <c r="AO59" s="355"/>
      <c r="AP59" s="355"/>
    </row>
    <row r="60" spans="1:50" s="20" customFormat="1" ht="13.5" customHeight="1" x14ac:dyDescent="0.15">
      <c r="A60" s="355"/>
      <c r="B60" s="355"/>
      <c r="C60" s="355"/>
      <c r="D60" s="355"/>
      <c r="E60" s="355"/>
      <c r="F60" s="355"/>
      <c r="G60" s="355"/>
      <c r="H60" s="355"/>
      <c r="I60" s="355"/>
      <c r="J60" s="355"/>
      <c r="K60" s="355"/>
      <c r="L60" s="355"/>
      <c r="M60" s="355"/>
      <c r="N60" s="355"/>
      <c r="O60" s="355"/>
      <c r="P60" s="355"/>
      <c r="Q60" s="355"/>
      <c r="R60" s="355"/>
      <c r="S60" s="355"/>
      <c r="T60" s="355"/>
      <c r="U60" s="355"/>
      <c r="V60" s="355"/>
      <c r="W60" s="355"/>
      <c r="X60" s="355"/>
      <c r="Y60" s="355"/>
      <c r="Z60" s="355"/>
      <c r="AA60" s="355"/>
      <c r="AB60" s="355"/>
      <c r="AC60" s="355"/>
      <c r="AD60" s="355"/>
      <c r="AE60" s="355"/>
      <c r="AF60" s="355"/>
      <c r="AG60" s="355"/>
      <c r="AH60" s="355"/>
      <c r="AI60" s="355"/>
      <c r="AJ60" s="355"/>
      <c r="AK60" s="355"/>
      <c r="AL60" s="355"/>
      <c r="AM60" s="355"/>
      <c r="AN60" s="355"/>
      <c r="AO60" s="355"/>
      <c r="AP60" s="355"/>
    </row>
    <row r="61" spans="1:50" s="20" customFormat="1" ht="15" customHeight="1" x14ac:dyDescent="0.15">
      <c r="A61" s="355"/>
      <c r="B61" s="355"/>
      <c r="C61" s="355"/>
      <c r="D61" s="355"/>
      <c r="E61" s="355"/>
      <c r="F61" s="355"/>
      <c r="G61" s="355"/>
      <c r="H61" s="355"/>
      <c r="I61" s="355"/>
      <c r="J61" s="355"/>
      <c r="K61" s="355"/>
      <c r="L61" s="355"/>
      <c r="M61" s="355"/>
      <c r="N61" s="355"/>
      <c r="O61" s="355"/>
      <c r="P61" s="355"/>
      <c r="Q61" s="355"/>
      <c r="R61" s="355"/>
      <c r="S61" s="355"/>
      <c r="T61" s="355"/>
      <c r="U61" s="355"/>
      <c r="V61" s="355"/>
      <c r="W61" s="355"/>
      <c r="X61" s="355"/>
      <c r="Y61" s="355"/>
      <c r="Z61" s="355"/>
      <c r="AA61" s="355"/>
      <c r="AB61" s="355"/>
      <c r="AC61" s="355"/>
      <c r="AD61" s="355"/>
      <c r="AE61" s="355"/>
      <c r="AF61" s="355"/>
      <c r="AG61" s="355"/>
      <c r="AH61" s="355"/>
      <c r="AI61" s="355"/>
      <c r="AJ61" s="355"/>
      <c r="AK61" s="355"/>
      <c r="AL61" s="355"/>
      <c r="AM61" s="355"/>
      <c r="AN61" s="355"/>
      <c r="AO61" s="355"/>
      <c r="AP61" s="355"/>
    </row>
    <row r="62" spans="1:50" s="20" customFormat="1" ht="15" customHeight="1" x14ac:dyDescent="0.15">
      <c r="A62" s="355"/>
      <c r="B62" s="355"/>
      <c r="C62" s="355"/>
      <c r="D62" s="355"/>
      <c r="E62" s="355"/>
      <c r="F62" s="355"/>
      <c r="G62" s="355"/>
      <c r="H62" s="355"/>
      <c r="I62" s="355"/>
      <c r="J62" s="355"/>
      <c r="K62" s="355"/>
      <c r="L62" s="355"/>
      <c r="M62" s="355"/>
      <c r="N62" s="355"/>
      <c r="O62" s="355"/>
      <c r="P62" s="355"/>
      <c r="Q62" s="355"/>
      <c r="R62" s="355"/>
      <c r="S62" s="355"/>
      <c r="T62" s="355"/>
      <c r="U62" s="355"/>
      <c r="V62" s="355"/>
      <c r="W62" s="355"/>
      <c r="X62" s="355"/>
      <c r="Y62" s="355"/>
      <c r="Z62" s="355"/>
      <c r="AA62" s="355"/>
      <c r="AB62" s="355"/>
      <c r="AC62" s="355"/>
      <c r="AD62" s="355"/>
      <c r="AE62" s="355"/>
      <c r="AF62" s="355"/>
      <c r="AG62" s="355"/>
      <c r="AH62" s="355"/>
      <c r="AI62" s="355"/>
      <c r="AJ62" s="355"/>
      <c r="AK62" s="355"/>
      <c r="AL62" s="355"/>
      <c r="AM62" s="355"/>
      <c r="AN62" s="355"/>
      <c r="AO62" s="355"/>
      <c r="AP62" s="355"/>
    </row>
    <row r="63" spans="1:50" s="20" customFormat="1" ht="15" customHeight="1" x14ac:dyDescent="0.15">
      <c r="A63" s="355"/>
      <c r="B63" s="355"/>
      <c r="C63" s="355"/>
      <c r="D63" s="355"/>
      <c r="E63" s="355"/>
      <c r="F63" s="355"/>
      <c r="G63" s="355"/>
      <c r="H63" s="355"/>
      <c r="I63" s="355"/>
      <c r="J63" s="355"/>
      <c r="K63" s="355"/>
      <c r="L63" s="355"/>
      <c r="M63" s="355"/>
      <c r="N63" s="355"/>
      <c r="O63" s="355"/>
      <c r="P63" s="355"/>
      <c r="Q63" s="355"/>
      <c r="R63" s="355"/>
      <c r="S63" s="355"/>
      <c r="T63" s="355"/>
      <c r="U63" s="355"/>
      <c r="V63" s="355"/>
      <c r="W63" s="355"/>
      <c r="X63" s="355"/>
      <c r="Y63" s="355"/>
      <c r="Z63" s="355"/>
      <c r="AA63" s="355"/>
      <c r="AB63" s="355"/>
      <c r="AC63" s="355"/>
      <c r="AD63" s="355"/>
      <c r="AE63" s="355"/>
      <c r="AF63" s="355"/>
      <c r="AG63" s="355"/>
      <c r="AH63" s="355"/>
      <c r="AI63" s="355"/>
      <c r="AJ63" s="355"/>
      <c r="AK63" s="355"/>
      <c r="AL63" s="355"/>
      <c r="AM63" s="355"/>
      <c r="AN63" s="355"/>
      <c r="AO63" s="355"/>
      <c r="AP63" s="355"/>
    </row>
    <row r="64" spans="1:50" s="20" customFormat="1" ht="15" customHeight="1" x14ac:dyDescent="0.15">
      <c r="A64" s="355"/>
      <c r="B64" s="355"/>
      <c r="C64" s="355"/>
      <c r="D64" s="355"/>
      <c r="E64" s="355"/>
      <c r="F64" s="355"/>
      <c r="G64" s="355"/>
      <c r="H64" s="355"/>
      <c r="I64" s="355"/>
      <c r="J64" s="355"/>
      <c r="K64" s="355"/>
      <c r="L64" s="355"/>
      <c r="M64" s="355"/>
      <c r="N64" s="355"/>
      <c r="O64" s="355"/>
      <c r="P64" s="355"/>
      <c r="Q64" s="355"/>
      <c r="R64" s="355"/>
      <c r="S64" s="355"/>
      <c r="T64" s="355"/>
      <c r="U64" s="355"/>
      <c r="V64" s="355"/>
      <c r="W64" s="355"/>
      <c r="X64" s="355"/>
      <c r="Y64" s="355"/>
      <c r="Z64" s="355"/>
      <c r="AA64" s="355"/>
      <c r="AB64" s="355"/>
      <c r="AC64" s="355"/>
      <c r="AD64" s="355"/>
      <c r="AE64" s="355"/>
      <c r="AF64" s="355"/>
      <c r="AG64" s="355"/>
      <c r="AH64" s="355"/>
      <c r="AI64" s="355"/>
      <c r="AJ64" s="355"/>
      <c r="AK64" s="355"/>
      <c r="AL64" s="355"/>
      <c r="AM64" s="355"/>
      <c r="AN64" s="355"/>
      <c r="AO64" s="355"/>
      <c r="AP64" s="355"/>
    </row>
    <row r="65" spans="1:42" s="20" customFormat="1" ht="15" customHeight="1" x14ac:dyDescent="0.15">
      <c r="A65" s="355"/>
      <c r="B65" s="355"/>
      <c r="C65" s="355"/>
      <c r="D65" s="355"/>
      <c r="E65" s="355"/>
      <c r="F65" s="355"/>
      <c r="G65" s="355"/>
      <c r="H65" s="355"/>
      <c r="I65" s="355"/>
      <c r="J65" s="355"/>
      <c r="K65" s="355"/>
      <c r="L65" s="355"/>
      <c r="M65" s="355"/>
      <c r="N65" s="355"/>
      <c r="O65" s="355"/>
      <c r="P65" s="355"/>
      <c r="Q65" s="355"/>
      <c r="R65" s="355"/>
      <c r="S65" s="355"/>
      <c r="T65" s="355"/>
      <c r="U65" s="355"/>
      <c r="V65" s="355"/>
      <c r="W65" s="355"/>
      <c r="X65" s="355"/>
      <c r="Y65" s="355"/>
      <c r="Z65" s="355"/>
      <c r="AA65" s="355"/>
      <c r="AB65" s="355"/>
      <c r="AC65" s="355"/>
      <c r="AD65" s="355"/>
      <c r="AE65" s="355"/>
      <c r="AF65" s="355"/>
      <c r="AG65" s="355"/>
      <c r="AH65" s="355"/>
      <c r="AI65" s="355"/>
      <c r="AJ65" s="355"/>
      <c r="AK65" s="355"/>
      <c r="AL65" s="355"/>
      <c r="AM65" s="355"/>
      <c r="AN65" s="355"/>
      <c r="AO65" s="355"/>
      <c r="AP65" s="355"/>
    </row>
    <row r="66" spans="1:42" s="20" customFormat="1" ht="15" customHeight="1" x14ac:dyDescent="0.15">
      <c r="A66" s="22"/>
      <c r="B66" s="21"/>
      <c r="C66" s="21"/>
      <c r="D66" s="21"/>
      <c r="E66" s="21"/>
      <c r="F66" s="21"/>
      <c r="G66" s="21"/>
      <c r="H66" s="21"/>
      <c r="I66" s="21"/>
      <c r="J66" s="21"/>
      <c r="K66" s="21"/>
      <c r="L66" s="21"/>
      <c r="M66" s="21"/>
      <c r="N66" s="21"/>
      <c r="O66" s="21"/>
      <c r="P66" s="21"/>
      <c r="Q66" s="21"/>
      <c r="R66" s="21"/>
      <c r="S66" s="21"/>
      <c r="T66" s="21"/>
      <c r="U66" s="23"/>
    </row>
    <row r="67" spans="1:42" s="20" customFormat="1" ht="15" customHeight="1" x14ac:dyDescent="0.15">
      <c r="A67" s="22"/>
      <c r="B67" s="21"/>
      <c r="C67" s="21"/>
      <c r="D67" s="21"/>
      <c r="E67" s="21"/>
      <c r="F67" s="21"/>
      <c r="G67" s="21"/>
      <c r="H67" s="21"/>
      <c r="I67" s="21"/>
      <c r="J67" s="21"/>
      <c r="K67" s="21"/>
      <c r="L67" s="21"/>
      <c r="M67" s="21"/>
      <c r="N67" s="21"/>
      <c r="O67" s="21"/>
      <c r="P67" s="21"/>
      <c r="Q67" s="21"/>
      <c r="R67" s="21"/>
      <c r="S67" s="21"/>
      <c r="T67" s="21"/>
      <c r="U67" s="21"/>
    </row>
    <row r="68" spans="1:42" s="20" customFormat="1" ht="15" customHeight="1" x14ac:dyDescent="0.15"/>
    <row r="69" spans="1:42" s="20" customFormat="1" ht="15" customHeight="1" x14ac:dyDescent="0.15"/>
    <row r="70" spans="1:42" s="20" customFormat="1" ht="15" customHeight="1" x14ac:dyDescent="0.15"/>
    <row r="71" spans="1:42" s="20" customFormat="1" ht="15" customHeight="1" x14ac:dyDescent="0.15"/>
    <row r="72" spans="1:42" s="20" customFormat="1" ht="15" customHeight="1" x14ac:dyDescent="0.15"/>
    <row r="73" spans="1:42" s="20" customFormat="1" ht="15" customHeight="1" x14ac:dyDescent="0.15"/>
    <row r="74" spans="1:42" s="20" customFormat="1" ht="15" customHeight="1" x14ac:dyDescent="0.15"/>
    <row r="75" spans="1:42" s="20" customFormat="1" ht="15" customHeight="1" x14ac:dyDescent="0.15"/>
    <row r="76" spans="1:42" s="20" customFormat="1" ht="15" customHeight="1" x14ac:dyDescent="0.15"/>
    <row r="77" spans="1:42" s="20" customFormat="1" ht="15" customHeight="1" x14ac:dyDescent="0.15"/>
    <row r="78" spans="1:42" s="20" customFormat="1" ht="15" customHeight="1" x14ac:dyDescent="0.15"/>
    <row r="79" spans="1:42" s="20" customFormat="1" ht="15" customHeight="1" x14ac:dyDescent="0.15"/>
    <row r="80" spans="1:42" s="20" customFormat="1" ht="15" customHeight="1" x14ac:dyDescent="0.15"/>
    <row r="81" s="20" customFormat="1" ht="15" customHeight="1" x14ac:dyDescent="0.15"/>
    <row r="82" s="20" customFormat="1" ht="15" customHeight="1" x14ac:dyDescent="0.15"/>
    <row r="83" s="20" customFormat="1" ht="15" customHeight="1" x14ac:dyDescent="0.15"/>
    <row r="84" s="20" customFormat="1" ht="15" customHeight="1" x14ac:dyDescent="0.15"/>
    <row r="85" s="20" customFormat="1" ht="15" customHeight="1" x14ac:dyDescent="0.15"/>
    <row r="86" s="20" customFormat="1" ht="15" customHeight="1" x14ac:dyDescent="0.15"/>
    <row r="87" s="20" customFormat="1" ht="15" customHeight="1" x14ac:dyDescent="0.15"/>
    <row r="88" s="20" customFormat="1" ht="15" customHeight="1" x14ac:dyDescent="0.15"/>
    <row r="89" s="20" customFormat="1" ht="15" customHeight="1" x14ac:dyDescent="0.15"/>
    <row r="90" s="20" customFormat="1" ht="15" customHeight="1" x14ac:dyDescent="0.15"/>
    <row r="91" s="20" customFormat="1" ht="15" customHeight="1" x14ac:dyDescent="0.15"/>
    <row r="92" s="20" customFormat="1" ht="15" customHeight="1" x14ac:dyDescent="0.15"/>
    <row r="93" s="20" customFormat="1" ht="15" customHeight="1" x14ac:dyDescent="0.15"/>
    <row r="94" s="20" customFormat="1" ht="15" customHeight="1" x14ac:dyDescent="0.15"/>
    <row r="95" s="20" customFormat="1" ht="15" customHeight="1" x14ac:dyDescent="0.15"/>
    <row r="96" s="20" customFormat="1" ht="15" customHeight="1" x14ac:dyDescent="0.15"/>
    <row r="97" s="20" customFormat="1" ht="15" customHeight="1" x14ac:dyDescent="0.15"/>
    <row r="98" s="20" customFormat="1" ht="15" customHeight="1" x14ac:dyDescent="0.15"/>
    <row r="99" s="20" customFormat="1" ht="15" customHeight="1" x14ac:dyDescent="0.15"/>
    <row r="100" s="20" customFormat="1" ht="15" customHeight="1" x14ac:dyDescent="0.15"/>
    <row r="101" s="20" customFormat="1" ht="15" customHeight="1" x14ac:dyDescent="0.15"/>
    <row r="102" s="20" customFormat="1" ht="15" customHeight="1" x14ac:dyDescent="0.15"/>
    <row r="103" s="20" customFormat="1" ht="15" customHeight="1" x14ac:dyDescent="0.15"/>
    <row r="104" s="20" customFormat="1" ht="15" customHeight="1" x14ac:dyDescent="0.15"/>
    <row r="105" s="20" customFormat="1" ht="15" customHeight="1" x14ac:dyDescent="0.15"/>
    <row r="106" s="20" customFormat="1" ht="15" customHeight="1" x14ac:dyDescent="0.15"/>
    <row r="107" s="20" customFormat="1" ht="15" customHeight="1" x14ac:dyDescent="0.15"/>
    <row r="108" s="20" customFormat="1" ht="15" customHeight="1" x14ac:dyDescent="0.15"/>
    <row r="109" s="20" customFormat="1" ht="15" customHeight="1" x14ac:dyDescent="0.15"/>
    <row r="110" s="20" customFormat="1" ht="15" customHeight="1" x14ac:dyDescent="0.15"/>
    <row r="111" s="20" customFormat="1" ht="15" customHeight="1" x14ac:dyDescent="0.15"/>
    <row r="112" s="20" customFormat="1" ht="15" customHeight="1" x14ac:dyDescent="0.15"/>
    <row r="113" s="20" customFormat="1" ht="15" customHeight="1" x14ac:dyDescent="0.15"/>
    <row r="114" s="20" customFormat="1" ht="15" customHeight="1" x14ac:dyDescent="0.15"/>
    <row r="115" s="20" customFormat="1" ht="15" customHeight="1" x14ac:dyDescent="0.15"/>
    <row r="116" s="20" customFormat="1" ht="15" customHeight="1" x14ac:dyDescent="0.15"/>
    <row r="117" s="20" customFormat="1" ht="15" customHeight="1" x14ac:dyDescent="0.15"/>
    <row r="118" s="20" customFormat="1" ht="15" customHeight="1" x14ac:dyDescent="0.15"/>
    <row r="119" s="20" customFormat="1" ht="15" customHeight="1" x14ac:dyDescent="0.15"/>
    <row r="120" s="20" customFormat="1" ht="15" customHeight="1" x14ac:dyDescent="0.15"/>
    <row r="121" s="20" customFormat="1" ht="15" customHeight="1" x14ac:dyDescent="0.15"/>
    <row r="122" s="20" customFormat="1" ht="15" customHeight="1" x14ac:dyDescent="0.15"/>
    <row r="123" s="20" customFormat="1" ht="15" customHeight="1" x14ac:dyDescent="0.15"/>
    <row r="124" s="20" customFormat="1" ht="15" customHeight="1" x14ac:dyDescent="0.15"/>
    <row r="125" s="20" customFormat="1" ht="15" customHeight="1" x14ac:dyDescent="0.15"/>
    <row r="126" s="20" customFormat="1" ht="15" customHeight="1" x14ac:dyDescent="0.15"/>
    <row r="127" s="20" customFormat="1" ht="15" customHeight="1" x14ac:dyDescent="0.15"/>
    <row r="128" s="20" customFormat="1" ht="15" customHeight="1" x14ac:dyDescent="0.15"/>
    <row r="129" s="20" customFormat="1" ht="15" customHeight="1" x14ac:dyDescent="0.15"/>
    <row r="130" s="20" customFormat="1" ht="15" customHeight="1" x14ac:dyDescent="0.15"/>
    <row r="131" s="20" customFormat="1" ht="15" customHeight="1" x14ac:dyDescent="0.15"/>
    <row r="132" s="20" customFormat="1" ht="15" customHeight="1" x14ac:dyDescent="0.15"/>
    <row r="133" s="20" customFormat="1" ht="15" customHeight="1" x14ac:dyDescent="0.15"/>
    <row r="134" s="20" customFormat="1" ht="15" customHeight="1" x14ac:dyDescent="0.15"/>
    <row r="135" s="20" customFormat="1" ht="15" customHeight="1" x14ac:dyDescent="0.15"/>
    <row r="136" s="20" customFormat="1" ht="15" customHeight="1" x14ac:dyDescent="0.15"/>
    <row r="137" s="20" customFormat="1" ht="15" customHeight="1" x14ac:dyDescent="0.15"/>
    <row r="138" s="20" customFormat="1" ht="15" customHeight="1" x14ac:dyDescent="0.15"/>
    <row r="139" s="20" customFormat="1" ht="15" customHeight="1" x14ac:dyDescent="0.15"/>
    <row r="140" s="20" customFormat="1" ht="15" customHeight="1" x14ac:dyDescent="0.15"/>
    <row r="141" s="20" customFormat="1" ht="15" customHeight="1" x14ac:dyDescent="0.15"/>
    <row r="142" s="20" customFormat="1" ht="15" customHeight="1" x14ac:dyDescent="0.15"/>
    <row r="143" s="20" customFormat="1" ht="15" customHeight="1" x14ac:dyDescent="0.15"/>
    <row r="144" s="20" customFormat="1" ht="15" customHeight="1" x14ac:dyDescent="0.15"/>
    <row r="145" s="20" customFormat="1" ht="15" customHeight="1" x14ac:dyDescent="0.15"/>
    <row r="146" s="20" customFormat="1" ht="15" customHeight="1" x14ac:dyDescent="0.15"/>
    <row r="147" s="20" customFormat="1" ht="15" customHeight="1" x14ac:dyDescent="0.15"/>
    <row r="148" s="20" customFormat="1" ht="15" customHeight="1" x14ac:dyDescent="0.15"/>
    <row r="149" s="20" customFormat="1" ht="15" customHeight="1" x14ac:dyDescent="0.15"/>
    <row r="150" s="20" customFormat="1" ht="15" customHeight="1" x14ac:dyDescent="0.15"/>
    <row r="151" s="20" customFormat="1" ht="15" customHeight="1" x14ac:dyDescent="0.15"/>
    <row r="152" s="20" customFormat="1" ht="15" customHeight="1" x14ac:dyDescent="0.15"/>
    <row r="153" s="20" customFormat="1" ht="15" customHeight="1" x14ac:dyDescent="0.15"/>
    <row r="154" s="20" customFormat="1" ht="15" customHeight="1" x14ac:dyDescent="0.15"/>
    <row r="155" s="20" customFormat="1" ht="15" customHeight="1" x14ac:dyDescent="0.15"/>
    <row r="156" s="20" customFormat="1" ht="15" customHeight="1" x14ac:dyDescent="0.15"/>
    <row r="157" s="20" customFormat="1" ht="15" customHeight="1" x14ac:dyDescent="0.15"/>
    <row r="158" s="20" customFormat="1" ht="15" customHeight="1" x14ac:dyDescent="0.15"/>
    <row r="159" s="20" customFormat="1" ht="15" customHeight="1" x14ac:dyDescent="0.15"/>
    <row r="160" s="20" customFormat="1" ht="15" customHeight="1" x14ac:dyDescent="0.15"/>
    <row r="161" s="20" customFormat="1" ht="15" customHeight="1" x14ac:dyDescent="0.15"/>
    <row r="162" s="20" customFormat="1" ht="15" customHeight="1" x14ac:dyDescent="0.15"/>
    <row r="163" s="20" customFormat="1" ht="15" customHeight="1" x14ac:dyDescent="0.15"/>
    <row r="164" s="20" customFormat="1" ht="15" customHeight="1" x14ac:dyDescent="0.15"/>
    <row r="165" s="20" customFormat="1" ht="15" customHeight="1" x14ac:dyDescent="0.15"/>
    <row r="166" s="20" customFormat="1" ht="15" customHeight="1" x14ac:dyDescent="0.15"/>
    <row r="167" s="20" customFormat="1" ht="15" customHeight="1" x14ac:dyDescent="0.15"/>
    <row r="168" s="20" customFormat="1" ht="15" customHeight="1" x14ac:dyDescent="0.15"/>
    <row r="169" s="20" customFormat="1" ht="15" customHeight="1" x14ac:dyDescent="0.15"/>
    <row r="170" s="20" customFormat="1" ht="15" customHeight="1" x14ac:dyDescent="0.15"/>
    <row r="171" s="20" customFormat="1" ht="15" customHeight="1" x14ac:dyDescent="0.15"/>
    <row r="172" s="20" customFormat="1" ht="15" customHeight="1" x14ac:dyDescent="0.15"/>
    <row r="173" s="20" customFormat="1" ht="15" customHeight="1" x14ac:dyDescent="0.15"/>
    <row r="174" s="20" customFormat="1" ht="15" customHeight="1" x14ac:dyDescent="0.15"/>
    <row r="175" s="20" customFormat="1" ht="15" customHeight="1" x14ac:dyDescent="0.15"/>
    <row r="176" s="20" customFormat="1" ht="15" customHeight="1" x14ac:dyDescent="0.15"/>
    <row r="177" s="20" customFormat="1" ht="15" customHeight="1" x14ac:dyDescent="0.15"/>
    <row r="178" s="20" customFormat="1" ht="15" customHeight="1" x14ac:dyDescent="0.15"/>
    <row r="179" s="20" customFormat="1" ht="15" customHeight="1" x14ac:dyDescent="0.15"/>
    <row r="180" s="20" customFormat="1" ht="15" customHeight="1" x14ac:dyDescent="0.15"/>
    <row r="181" s="20" customFormat="1" ht="15" customHeight="1" x14ac:dyDescent="0.15"/>
    <row r="182" s="20" customFormat="1" ht="15" customHeight="1" x14ac:dyDescent="0.15"/>
    <row r="183" s="20" customFormat="1" ht="15" customHeight="1" x14ac:dyDescent="0.15"/>
    <row r="184" s="20" customFormat="1" ht="15" customHeight="1" x14ac:dyDescent="0.15"/>
    <row r="185" s="20" customFormat="1" ht="15" customHeight="1" x14ac:dyDescent="0.15"/>
    <row r="186" s="20" customFormat="1" ht="15" customHeight="1" x14ac:dyDescent="0.15"/>
    <row r="187" s="20" customFormat="1" ht="15" customHeight="1" x14ac:dyDescent="0.15"/>
    <row r="188" s="20" customFormat="1" ht="15" customHeight="1" x14ac:dyDescent="0.15"/>
    <row r="189" s="20" customFormat="1" ht="15" customHeight="1" x14ac:dyDescent="0.15"/>
    <row r="190" s="20" customFormat="1" ht="15" customHeight="1" x14ac:dyDescent="0.15"/>
    <row r="191" s="20" customFormat="1" ht="15" customHeight="1" x14ac:dyDescent="0.15"/>
    <row r="192" s="20" customFormat="1" ht="15" customHeight="1" x14ac:dyDescent="0.15"/>
    <row r="193" s="20" customFormat="1" ht="15" customHeight="1" x14ac:dyDescent="0.15"/>
    <row r="194" s="20" customFormat="1" ht="15" customHeight="1" x14ac:dyDescent="0.15"/>
    <row r="195" s="20" customFormat="1" ht="15" customHeight="1" x14ac:dyDescent="0.15"/>
    <row r="196" s="20" customFormat="1" ht="15" customHeight="1" x14ac:dyDescent="0.15"/>
    <row r="197" s="20" customFormat="1" ht="15" customHeight="1" x14ac:dyDescent="0.15"/>
    <row r="198" s="20" customFormat="1" ht="15" customHeight="1" x14ac:dyDescent="0.15"/>
    <row r="199" s="20" customFormat="1" ht="15" customHeight="1" x14ac:dyDescent="0.15"/>
    <row r="200" s="20" customFormat="1" ht="15" customHeight="1" x14ac:dyDescent="0.15"/>
    <row r="201" s="20" customFormat="1" ht="15" customHeight="1" x14ac:dyDescent="0.15"/>
    <row r="202" s="20" customFormat="1" ht="15" customHeight="1" x14ac:dyDescent="0.15"/>
    <row r="203" s="20" customFormat="1" ht="15" customHeight="1" x14ac:dyDescent="0.15"/>
    <row r="204" s="20" customFormat="1" ht="15" customHeight="1" x14ac:dyDescent="0.15"/>
    <row r="205" s="20" customFormat="1" ht="15" customHeight="1" x14ac:dyDescent="0.15"/>
    <row r="206" s="20" customFormat="1" ht="15" customHeight="1" x14ac:dyDescent="0.15"/>
    <row r="207" s="20" customFormat="1" ht="15" customHeight="1" x14ac:dyDescent="0.15"/>
    <row r="208" s="20" customFormat="1" ht="15" customHeight="1" x14ac:dyDescent="0.15"/>
    <row r="209" s="20" customFormat="1" ht="15" customHeight="1" x14ac:dyDescent="0.15"/>
    <row r="210" s="20" customFormat="1" ht="15" customHeight="1" x14ac:dyDescent="0.15"/>
    <row r="211" s="20" customFormat="1" ht="15" customHeight="1" x14ac:dyDescent="0.15"/>
    <row r="212" s="20" customFormat="1" ht="15" customHeight="1" x14ac:dyDescent="0.15"/>
    <row r="213" s="20" customFormat="1" ht="15" customHeight="1" x14ac:dyDescent="0.15"/>
    <row r="214" s="20" customFormat="1" ht="15" customHeight="1" x14ac:dyDescent="0.15"/>
    <row r="215" s="20" customFormat="1" ht="15" customHeight="1" x14ac:dyDescent="0.15"/>
    <row r="216" s="20" customFormat="1" ht="15" customHeight="1" x14ac:dyDescent="0.15"/>
    <row r="217" s="20" customFormat="1" ht="15" customHeight="1" x14ac:dyDescent="0.15"/>
    <row r="218" s="20" customFormat="1" ht="15" customHeight="1" x14ac:dyDescent="0.15"/>
    <row r="219" s="20" customFormat="1" ht="15" customHeight="1" x14ac:dyDescent="0.15"/>
    <row r="220" s="20" customFormat="1" ht="15" customHeight="1" x14ac:dyDescent="0.15"/>
    <row r="221" s="20" customFormat="1" ht="15" customHeight="1" x14ac:dyDescent="0.15"/>
    <row r="222" s="20" customFormat="1" ht="15" customHeight="1" x14ac:dyDescent="0.15"/>
    <row r="223" s="20" customFormat="1" ht="15" customHeight="1" x14ac:dyDescent="0.15"/>
    <row r="224" s="20" customFormat="1" ht="15" customHeight="1" x14ac:dyDescent="0.15"/>
    <row r="225" s="20" customFormat="1" ht="15" customHeight="1" x14ac:dyDescent="0.15"/>
    <row r="226" s="20" customFormat="1" ht="15" customHeight="1" x14ac:dyDescent="0.15"/>
    <row r="227" s="20" customFormat="1" ht="15" customHeight="1" x14ac:dyDescent="0.15"/>
    <row r="228" s="20" customFormat="1" ht="15" customHeight="1" x14ac:dyDescent="0.15"/>
    <row r="229" s="20" customFormat="1" ht="15" customHeight="1" x14ac:dyDescent="0.15"/>
    <row r="230" s="20" customFormat="1" ht="15" customHeight="1" x14ac:dyDescent="0.15"/>
    <row r="231" s="20" customFormat="1" ht="15" customHeight="1" x14ac:dyDescent="0.15"/>
    <row r="232" s="20" customFormat="1" ht="15" customHeight="1" x14ac:dyDescent="0.15"/>
    <row r="233" s="20" customFormat="1" ht="15" customHeight="1" x14ac:dyDescent="0.15"/>
    <row r="234" s="20" customFormat="1" ht="15" customHeight="1" x14ac:dyDescent="0.15"/>
    <row r="235" s="20" customFormat="1" ht="15" customHeight="1" x14ac:dyDescent="0.15"/>
    <row r="236" s="20" customFormat="1" ht="15" customHeight="1" x14ac:dyDescent="0.15"/>
    <row r="237" s="20" customFormat="1" ht="15" customHeight="1" x14ac:dyDescent="0.15"/>
    <row r="238" s="20" customFormat="1" ht="15" customHeight="1" x14ac:dyDescent="0.15"/>
    <row r="239" s="20" customFormat="1" ht="15" customHeight="1" x14ac:dyDescent="0.15"/>
    <row r="240" s="20" customFormat="1" ht="15" customHeight="1" x14ac:dyDescent="0.15"/>
    <row r="241" s="20" customFormat="1" ht="15" customHeight="1" x14ac:dyDescent="0.15"/>
    <row r="242" s="20" customFormat="1" ht="15" customHeight="1" x14ac:dyDescent="0.15"/>
    <row r="243" s="20" customFormat="1" ht="15" customHeight="1" x14ac:dyDescent="0.15"/>
    <row r="244" s="20" customFormat="1" ht="15" customHeight="1" x14ac:dyDescent="0.15"/>
    <row r="245" s="20" customFormat="1" ht="15" customHeight="1" x14ac:dyDescent="0.15"/>
    <row r="246" s="20" customFormat="1" ht="15" customHeight="1" x14ac:dyDescent="0.15"/>
    <row r="247" s="20" customFormat="1" ht="15" customHeight="1" x14ac:dyDescent="0.15"/>
    <row r="248" s="20" customFormat="1" ht="15" customHeight="1" x14ac:dyDescent="0.15"/>
    <row r="249" s="20" customFormat="1" ht="15" customHeight="1" x14ac:dyDescent="0.15"/>
    <row r="250" s="20" customFormat="1" ht="15" customHeight="1" x14ac:dyDescent="0.15"/>
    <row r="251" s="20" customFormat="1" ht="15" customHeight="1" x14ac:dyDescent="0.15"/>
    <row r="252" s="20" customFormat="1" ht="15" customHeight="1" x14ac:dyDescent="0.15"/>
    <row r="253" s="20" customFormat="1" ht="15" customHeight="1" x14ac:dyDescent="0.15"/>
    <row r="254" s="20" customFormat="1" ht="15" customHeight="1" x14ac:dyDescent="0.15"/>
    <row r="255" s="20" customFormat="1" ht="15" customHeight="1" x14ac:dyDescent="0.15"/>
    <row r="256" s="20" customFormat="1" ht="15" customHeight="1" x14ac:dyDescent="0.15"/>
    <row r="257" s="20" customFormat="1" ht="15" customHeight="1" x14ac:dyDescent="0.15"/>
    <row r="258" s="20" customFormat="1" ht="15" customHeight="1" x14ac:dyDescent="0.15"/>
    <row r="259" s="20" customFormat="1" ht="15" customHeight="1" x14ac:dyDescent="0.15"/>
    <row r="260" s="20" customFormat="1" ht="15" customHeight="1" x14ac:dyDescent="0.15"/>
    <row r="261" s="20" customFormat="1" ht="15" customHeight="1" x14ac:dyDescent="0.15"/>
    <row r="262" s="20" customFormat="1" ht="15" customHeight="1" x14ac:dyDescent="0.15"/>
    <row r="263" s="20" customFormat="1" ht="15" customHeight="1" x14ac:dyDescent="0.15"/>
    <row r="264" s="20" customFormat="1" ht="15" customHeight="1" x14ac:dyDescent="0.15"/>
    <row r="265" s="20" customFormat="1" ht="15" customHeight="1" x14ac:dyDescent="0.15"/>
    <row r="266" s="20" customFormat="1" ht="15" customHeight="1" x14ac:dyDescent="0.15"/>
    <row r="267" s="20" customFormat="1" ht="15" customHeight="1" x14ac:dyDescent="0.15"/>
    <row r="268" s="20" customFormat="1" ht="15" customHeight="1" x14ac:dyDescent="0.15"/>
    <row r="269" s="20" customFormat="1" ht="15" customHeight="1" x14ac:dyDescent="0.15"/>
    <row r="270" s="20" customFormat="1" ht="15" customHeight="1" x14ac:dyDescent="0.15"/>
    <row r="271" s="20" customFormat="1" ht="15" customHeight="1" x14ac:dyDescent="0.15"/>
    <row r="272" s="20" customFormat="1" ht="15" customHeight="1" x14ac:dyDescent="0.15"/>
    <row r="273" s="20" customFormat="1" ht="15" customHeight="1" x14ac:dyDescent="0.15"/>
    <row r="274" s="20" customFormat="1" ht="15" customHeight="1" x14ac:dyDescent="0.15"/>
    <row r="275" s="20" customFormat="1" ht="15" customHeight="1" x14ac:dyDescent="0.15"/>
    <row r="276" s="20" customFormat="1" ht="15" customHeight="1" x14ac:dyDescent="0.15"/>
    <row r="277" s="20" customFormat="1" ht="15" customHeight="1" x14ac:dyDescent="0.15"/>
    <row r="278" s="20" customFormat="1" ht="15" customHeight="1" x14ac:dyDescent="0.15"/>
    <row r="279" s="20" customFormat="1" ht="15" customHeight="1" x14ac:dyDescent="0.15"/>
    <row r="280" s="20" customFormat="1" ht="15" customHeight="1" x14ac:dyDescent="0.15"/>
    <row r="281" s="20" customFormat="1" ht="15" customHeight="1" x14ac:dyDescent="0.15"/>
    <row r="282" s="20" customFormat="1" ht="15" customHeight="1" x14ac:dyDescent="0.15"/>
    <row r="283" s="20" customFormat="1" ht="15" customHeight="1" x14ac:dyDescent="0.15"/>
    <row r="284" s="20" customFormat="1" ht="15" customHeight="1" x14ac:dyDescent="0.15"/>
    <row r="285" s="20" customFormat="1" ht="15" customHeight="1" x14ac:dyDescent="0.15"/>
    <row r="286" s="20" customFormat="1" ht="15" customHeight="1" x14ac:dyDescent="0.15"/>
    <row r="287" s="20" customFormat="1" ht="15" customHeight="1" x14ac:dyDescent="0.15"/>
    <row r="288" s="20" customFormat="1" ht="15" customHeight="1" x14ac:dyDescent="0.15"/>
    <row r="289" s="20" customFormat="1" ht="15" customHeight="1" x14ac:dyDescent="0.15"/>
    <row r="290" s="20" customFormat="1" ht="15" customHeight="1" x14ac:dyDescent="0.15"/>
    <row r="291" s="20" customFormat="1" ht="15" customHeight="1" x14ac:dyDescent="0.15"/>
    <row r="292" s="20" customFormat="1" ht="15" customHeight="1" x14ac:dyDescent="0.15"/>
    <row r="293" s="20" customFormat="1" ht="15" customHeight="1" x14ac:dyDescent="0.15"/>
    <row r="294" s="20" customFormat="1" ht="15" customHeight="1" x14ac:dyDescent="0.15"/>
    <row r="295" s="20" customFormat="1" ht="15" customHeight="1" x14ac:dyDescent="0.15"/>
    <row r="296" s="20" customFormat="1" ht="15" customHeight="1" x14ac:dyDescent="0.15"/>
    <row r="297" s="20" customFormat="1" ht="15" customHeight="1" x14ac:dyDescent="0.15"/>
    <row r="298" s="20" customFormat="1" ht="15" customHeight="1" x14ac:dyDescent="0.15"/>
    <row r="299" s="20" customFormat="1" ht="15" customHeight="1" x14ac:dyDescent="0.15"/>
    <row r="300" s="20" customFormat="1" ht="15" customHeight="1" x14ac:dyDescent="0.15"/>
    <row r="301" s="20" customFormat="1" ht="15" customHeight="1" x14ac:dyDescent="0.15"/>
    <row r="302" s="20" customFormat="1" ht="15" customHeight="1" x14ac:dyDescent="0.15"/>
    <row r="303" s="20" customFormat="1" ht="15" customHeight="1" x14ac:dyDescent="0.15"/>
    <row r="304" s="20" customFormat="1" ht="15" customHeight="1" x14ac:dyDescent="0.15"/>
    <row r="305" s="20" customFormat="1" ht="15" customHeight="1" x14ac:dyDescent="0.15"/>
    <row r="306" s="20" customFormat="1" ht="15" customHeight="1" x14ac:dyDescent="0.15"/>
    <row r="307" s="20" customFormat="1" ht="15" customHeight="1" x14ac:dyDescent="0.15"/>
    <row r="308" s="20" customFormat="1" ht="15" customHeight="1" x14ac:dyDescent="0.15"/>
    <row r="309" s="20" customFormat="1" ht="15" customHeight="1" x14ac:dyDescent="0.15"/>
    <row r="310" s="20" customFormat="1" ht="15" customHeight="1" x14ac:dyDescent="0.15"/>
    <row r="311" s="20" customFormat="1" ht="15" customHeight="1" x14ac:dyDescent="0.15"/>
    <row r="312" s="20" customFormat="1" ht="15" customHeight="1" x14ac:dyDescent="0.15"/>
    <row r="313" s="20" customFormat="1" ht="15" customHeight="1" x14ac:dyDescent="0.15"/>
    <row r="314" s="20" customFormat="1" ht="15" customHeight="1" x14ac:dyDescent="0.15"/>
    <row r="315" s="20" customFormat="1" ht="15" customHeight="1" x14ac:dyDescent="0.15"/>
    <row r="316" s="20" customFormat="1" ht="15" customHeight="1" x14ac:dyDescent="0.15"/>
    <row r="317" s="20" customFormat="1" ht="15" customHeight="1" x14ac:dyDescent="0.15"/>
    <row r="318" s="20" customFormat="1" ht="15" customHeight="1" x14ac:dyDescent="0.15"/>
    <row r="319" s="20" customFormat="1" ht="15" customHeight="1" x14ac:dyDescent="0.15"/>
    <row r="320" s="20" customFormat="1" ht="15" customHeight="1" x14ac:dyDescent="0.15"/>
    <row r="321" s="20" customFormat="1" ht="15" customHeight="1" x14ac:dyDescent="0.15"/>
    <row r="322" s="20" customFormat="1" ht="15" customHeight="1" x14ac:dyDescent="0.15"/>
    <row r="323" s="20" customFormat="1" ht="15" customHeight="1" x14ac:dyDescent="0.15"/>
    <row r="324" s="20" customFormat="1" ht="15" customHeight="1" x14ac:dyDescent="0.15"/>
    <row r="325" s="20" customFormat="1" ht="15" customHeight="1" x14ac:dyDescent="0.15"/>
    <row r="326" s="20" customFormat="1" ht="15" customHeight="1" x14ac:dyDescent="0.15"/>
    <row r="327" s="20" customFormat="1" ht="15" customHeight="1" x14ac:dyDescent="0.15"/>
    <row r="328" s="20" customFormat="1" ht="15" customHeight="1" x14ac:dyDescent="0.15"/>
    <row r="329" s="20" customFormat="1" ht="15" customHeight="1" x14ac:dyDescent="0.15"/>
    <row r="330" s="20" customFormat="1" ht="15" customHeight="1" x14ac:dyDescent="0.15"/>
    <row r="331" s="20" customFormat="1" ht="15" customHeight="1" x14ac:dyDescent="0.15"/>
    <row r="332" s="20" customFormat="1" ht="15" customHeight="1" x14ac:dyDescent="0.15"/>
    <row r="333" s="20" customFormat="1" ht="15" customHeight="1" x14ac:dyDescent="0.15"/>
    <row r="334" s="20" customFormat="1" ht="15" customHeight="1" x14ac:dyDescent="0.15"/>
    <row r="335" s="20" customFormat="1" ht="15" customHeight="1" x14ac:dyDescent="0.15"/>
    <row r="336" s="20" customFormat="1" ht="15" customHeight="1" x14ac:dyDescent="0.15"/>
    <row r="337" s="20" customFormat="1" ht="15" customHeight="1" x14ac:dyDescent="0.15"/>
    <row r="338" s="20" customFormat="1" ht="15" customHeight="1" x14ac:dyDescent="0.15"/>
    <row r="339" s="20" customFormat="1" ht="15" customHeight="1" x14ac:dyDescent="0.15"/>
    <row r="340" s="20" customFormat="1" ht="15" customHeight="1" x14ac:dyDescent="0.15"/>
    <row r="341" s="20" customFormat="1" ht="15" customHeight="1" x14ac:dyDescent="0.15"/>
    <row r="342" s="20" customFormat="1" ht="15" customHeight="1" x14ac:dyDescent="0.15"/>
    <row r="343" s="20" customFormat="1" ht="15" customHeight="1" x14ac:dyDescent="0.15"/>
    <row r="344" s="20" customFormat="1" ht="15" customHeight="1" x14ac:dyDescent="0.15"/>
    <row r="345" s="20" customFormat="1" ht="15" customHeight="1" x14ac:dyDescent="0.15"/>
    <row r="346" s="20" customFormat="1" ht="15" customHeight="1" x14ac:dyDescent="0.15"/>
    <row r="347" s="20" customFormat="1" ht="15" customHeight="1" x14ac:dyDescent="0.15"/>
    <row r="348" s="20" customFormat="1" ht="15" customHeight="1" x14ac:dyDescent="0.15"/>
    <row r="349" s="20" customFormat="1" ht="15" customHeight="1" x14ac:dyDescent="0.15"/>
    <row r="350" s="20" customFormat="1" ht="15" customHeight="1" x14ac:dyDescent="0.15"/>
    <row r="351" s="20" customFormat="1" ht="15" customHeight="1" x14ac:dyDescent="0.15"/>
    <row r="352" s="20" customFormat="1" ht="15" customHeight="1" x14ac:dyDescent="0.15"/>
    <row r="353" s="20" customFormat="1" ht="15" customHeight="1" x14ac:dyDescent="0.15"/>
    <row r="354" s="20" customFormat="1" ht="15" customHeight="1" x14ac:dyDescent="0.15"/>
    <row r="355" s="20" customFormat="1" ht="15" customHeight="1" x14ac:dyDescent="0.15"/>
    <row r="356" s="20" customFormat="1" ht="15" customHeight="1" x14ac:dyDescent="0.15"/>
    <row r="357" s="20" customFormat="1" ht="15" customHeight="1" x14ac:dyDescent="0.15"/>
    <row r="358" s="20" customFormat="1" ht="15" customHeight="1" x14ac:dyDescent="0.15"/>
    <row r="359" s="20" customFormat="1" ht="15" customHeight="1" x14ac:dyDescent="0.15"/>
    <row r="360" s="20" customFormat="1" ht="15" customHeight="1" x14ac:dyDescent="0.15"/>
    <row r="361" s="20" customFormat="1" ht="15" customHeight="1" x14ac:dyDescent="0.15"/>
    <row r="362" s="20" customFormat="1" ht="15" customHeight="1" x14ac:dyDescent="0.15"/>
    <row r="363" s="20" customFormat="1" ht="15" customHeight="1" x14ac:dyDescent="0.15"/>
    <row r="364" s="20" customFormat="1" ht="15" customHeight="1" x14ac:dyDescent="0.15"/>
    <row r="365" s="20" customFormat="1" ht="15" customHeight="1" x14ac:dyDescent="0.15"/>
    <row r="366" s="20" customFormat="1" ht="15" customHeight="1" x14ac:dyDescent="0.15"/>
    <row r="367" s="20" customFormat="1" ht="15" customHeight="1" x14ac:dyDescent="0.15"/>
    <row r="368" s="20" customFormat="1" ht="15" customHeight="1" x14ac:dyDescent="0.15"/>
    <row r="369" s="20" customFormat="1" ht="15" customHeight="1" x14ac:dyDescent="0.15"/>
    <row r="370" s="20" customFormat="1" ht="15" customHeight="1" x14ac:dyDescent="0.15"/>
    <row r="371" s="20" customFormat="1" ht="15" customHeight="1" x14ac:dyDescent="0.15"/>
    <row r="372" s="20" customFormat="1" ht="15" customHeight="1" x14ac:dyDescent="0.15"/>
    <row r="373" s="20" customFormat="1" ht="15" customHeight="1" x14ac:dyDescent="0.15"/>
    <row r="374" s="20" customFormat="1" ht="15" customHeight="1" x14ac:dyDescent="0.15"/>
    <row r="375" s="20" customFormat="1" ht="15" customHeight="1" x14ac:dyDescent="0.15"/>
    <row r="376" s="20" customFormat="1" ht="15" customHeight="1" x14ac:dyDescent="0.15"/>
    <row r="377" s="20" customFormat="1" ht="15" customHeight="1" x14ac:dyDescent="0.15"/>
    <row r="378" s="20" customFormat="1" ht="15" customHeight="1" x14ac:dyDescent="0.15"/>
    <row r="379" s="20" customFormat="1" ht="15" customHeight="1" x14ac:dyDescent="0.15"/>
    <row r="380" s="20" customFormat="1" ht="15" customHeight="1" x14ac:dyDescent="0.15"/>
    <row r="381" s="20" customFormat="1" ht="15" customHeight="1" x14ac:dyDescent="0.15"/>
    <row r="382" s="20" customFormat="1" ht="15" customHeight="1" x14ac:dyDescent="0.15"/>
    <row r="383" s="20" customFormat="1" ht="15" customHeight="1" x14ac:dyDescent="0.15"/>
    <row r="384" s="20" customFormat="1" ht="15" customHeight="1" x14ac:dyDescent="0.15"/>
    <row r="385" s="20" customFormat="1" ht="15" customHeight="1" x14ac:dyDescent="0.15"/>
    <row r="386" s="20" customFormat="1" ht="15" customHeight="1" x14ac:dyDescent="0.15"/>
    <row r="387" s="20" customFormat="1" ht="15" customHeight="1" x14ac:dyDescent="0.15"/>
    <row r="388" s="20" customFormat="1" ht="15" customHeight="1" x14ac:dyDescent="0.15"/>
    <row r="389" s="20" customFormat="1" ht="15" customHeight="1" x14ac:dyDescent="0.15"/>
    <row r="390" s="20" customFormat="1" ht="15" customHeight="1" x14ac:dyDescent="0.15"/>
    <row r="391" s="20" customFormat="1" ht="15" customHeight="1" x14ac:dyDescent="0.15"/>
    <row r="392" s="20" customFormat="1" ht="15" customHeight="1" x14ac:dyDescent="0.15"/>
    <row r="393" s="20" customFormat="1" ht="15" customHeight="1" x14ac:dyDescent="0.15"/>
    <row r="394" s="20" customFormat="1" ht="15" customHeight="1" x14ac:dyDescent="0.15"/>
    <row r="395" s="20" customFormat="1" ht="15" customHeight="1" x14ac:dyDescent="0.15"/>
    <row r="396" s="20" customFormat="1" ht="15" customHeight="1" x14ac:dyDescent="0.15"/>
    <row r="397" s="20" customFormat="1" ht="15" customHeight="1" x14ac:dyDescent="0.15"/>
    <row r="398" s="20" customFormat="1" ht="15" customHeight="1" x14ac:dyDescent="0.15"/>
    <row r="399" s="20" customFormat="1" ht="15" customHeight="1" x14ac:dyDescent="0.15"/>
    <row r="400" s="20" customFormat="1" ht="15" customHeight="1" x14ac:dyDescent="0.15"/>
    <row r="401" s="20" customFormat="1" ht="15" customHeight="1" x14ac:dyDescent="0.15"/>
    <row r="402" s="20" customFormat="1" ht="15" customHeight="1" x14ac:dyDescent="0.15"/>
    <row r="403" s="20" customFormat="1" ht="15" customHeight="1" x14ac:dyDescent="0.15"/>
    <row r="404" s="20" customFormat="1" ht="15" customHeight="1" x14ac:dyDescent="0.15"/>
    <row r="405" s="20" customFormat="1" ht="15" customHeight="1" x14ac:dyDescent="0.15"/>
    <row r="406" s="20" customFormat="1" ht="15" customHeight="1" x14ac:dyDescent="0.15"/>
    <row r="407" s="20" customFormat="1" ht="15" customHeight="1" x14ac:dyDescent="0.15"/>
    <row r="408" s="20" customFormat="1" ht="15" customHeight="1" x14ac:dyDescent="0.15"/>
    <row r="409" s="20" customFormat="1" ht="15" customHeight="1" x14ac:dyDescent="0.15"/>
    <row r="410" s="20" customFormat="1" ht="15" customHeight="1" x14ac:dyDescent="0.15"/>
    <row r="411" s="20" customFormat="1" ht="15" customHeight="1" x14ac:dyDescent="0.15"/>
    <row r="412" s="20" customFormat="1" ht="15" customHeight="1" x14ac:dyDescent="0.15"/>
    <row r="413" s="20" customFormat="1" ht="15" customHeight="1" x14ac:dyDescent="0.15"/>
    <row r="414" s="20" customFormat="1" ht="15" customHeight="1" x14ac:dyDescent="0.15"/>
    <row r="415" s="20" customFormat="1" ht="15" customHeight="1" x14ac:dyDescent="0.15"/>
    <row r="416" s="20" customFormat="1" ht="15" customHeight="1" x14ac:dyDescent="0.15"/>
    <row r="417" s="20" customFormat="1" ht="15" customHeight="1" x14ac:dyDescent="0.15"/>
    <row r="418" s="20" customFormat="1" ht="15" customHeight="1" x14ac:dyDescent="0.15"/>
    <row r="419" s="20" customFormat="1" ht="15" customHeight="1" x14ac:dyDescent="0.15"/>
    <row r="420" s="20" customFormat="1" ht="15" customHeight="1" x14ac:dyDescent="0.15"/>
    <row r="421" s="20" customFormat="1" ht="15" customHeight="1" x14ac:dyDescent="0.15"/>
    <row r="422" s="20" customFormat="1" ht="15" customHeight="1" x14ac:dyDescent="0.15"/>
  </sheetData>
  <mergeCells count="33">
    <mergeCell ref="A60:U65"/>
    <mergeCell ref="A6:U11"/>
    <mergeCell ref="V60:AP65"/>
    <mergeCell ref="V54:AP59"/>
    <mergeCell ref="V36:AP41"/>
    <mergeCell ref="A54:U59"/>
    <mergeCell ref="A48:U53"/>
    <mergeCell ref="A30:U35"/>
    <mergeCell ref="A36:U41"/>
    <mergeCell ref="V18:AP23"/>
    <mergeCell ref="V24:AP29"/>
    <mergeCell ref="V30:AP35"/>
    <mergeCell ref="V5:AP5"/>
    <mergeCell ref="V6:AP11"/>
    <mergeCell ref="V12:AP17"/>
    <mergeCell ref="AM1:AP1"/>
    <mergeCell ref="AM2:AP2"/>
    <mergeCell ref="A1:G2"/>
    <mergeCell ref="AG1:AL1"/>
    <mergeCell ref="I1:M1"/>
    <mergeCell ref="V42:AP47"/>
    <mergeCell ref="V48:AP53"/>
    <mergeCell ref="A12:U17"/>
    <mergeCell ref="A18:U23"/>
    <mergeCell ref="A42:U47"/>
    <mergeCell ref="I2:M2"/>
    <mergeCell ref="N1:V1"/>
    <mergeCell ref="AG2:AL2"/>
    <mergeCell ref="N2:V2"/>
    <mergeCell ref="W1:AF1"/>
    <mergeCell ref="W2:AF2"/>
    <mergeCell ref="A5:U5"/>
    <mergeCell ref="A24:U29"/>
  </mergeCells>
  <phoneticPr fontId="1"/>
  <pageMargins left="0.70866141732283472" right="0.70866141732283472" top="0.35433070866141736" bottom="0" header="0.31496062992125984" footer="0.31496062992125984"/>
  <pageSetup paperSize="9" scale="9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基本画面</vt:lpstr>
      <vt:lpstr>戸籍収集引継書 </vt:lpstr>
      <vt:lpstr>戸籍申請書</vt:lpstr>
      <vt:lpstr>戸籍申請書（相）</vt:lpstr>
      <vt:lpstr>名寄帳申請書</vt:lpstr>
      <vt:lpstr>実費台紙</vt:lpstr>
      <vt:lpstr>基本画面!Print_Area</vt:lpstr>
      <vt:lpstr>'戸籍収集引継書 '!Print_Area</vt:lpstr>
      <vt:lpstr>戸籍申請書!Print_Area</vt:lpstr>
      <vt:lpstr>'戸籍申請書（相）'!Print_Area</vt:lpstr>
      <vt:lpstr>実費台紙!Print_Area</vt:lpstr>
      <vt:lpstr>名寄帳申請書!Print_Area</vt:lpstr>
      <vt:lpstr>担当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nmasu</dc:creator>
  <cp:lastModifiedBy>nmasu</cp:lastModifiedBy>
  <cp:lastPrinted>2025-11-17T02:03:54Z</cp:lastPrinted>
  <dcterms:created xsi:type="dcterms:W3CDTF">2024-05-31T00:05:03Z</dcterms:created>
  <dcterms:modified xsi:type="dcterms:W3CDTF">2025-11-17T02:10:08Z</dcterms:modified>
</cp:coreProperties>
</file>